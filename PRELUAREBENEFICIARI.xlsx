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neficiari" sheetId="1" r:id="rId5"/>
    <sheet state="hidden" name="Config" sheetId="2" r:id="rId6"/>
  </sheets>
  <definedNames>
    <definedName name="LISTA_TERAPEUTI">Config!$A$2:$A$1000</definedName>
  </definedNames>
  <calcPr/>
</workbook>
</file>

<file path=xl/sharedStrings.xml><?xml version="1.0" encoding="utf-8"?>
<sst xmlns="http://schemas.openxmlformats.org/spreadsheetml/2006/main" count="5" uniqueCount="5">
  <si>
    <t>TERAPEUTI</t>
  </si>
  <si>
    <t>Preia beneficiar</t>
  </si>
  <si>
    <t>DROPDOWN_STYLE</t>
  </si>
  <si>
    <t>Terapeut</t>
  </si>
  <si>
    <t>Mezei Emoke (0752145363)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</si>
</sst>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sz val="12.0"/>
      <color rgb="FF000000"/>
      <name val="Arial"/>
    </font>
    <font>
      <b/>
      <sz val="12.0"/>
      <color theme="1"/>
      <name val="Arial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sz val="12.0"/>
      <color rgb="FF000000"/>
      <name val="Arial"/>
    </font>
    <font>
      <sz val="12.0"/>
      <color theme="1"/>
      <name val="Arial"/>
    </font>
    <font>
      <sz val="12.0"/>
      <color theme="1"/>
      <name val="Arial"/>
      <scheme val="minor"/>
    </font>
    <font>
      <sz val="12.0"/>
      <color rgb="FFFF0000"/>
      <name val="Arial"/>
      <scheme val="minor"/>
    </font>
    <font>
      <color rgb="FFFF0000"/>
      <name val="Arial"/>
      <scheme val="minor"/>
    </font>
    <font>
      <sz val="12.0"/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2" fontId="2" numFmtId="0" xfId="0" applyAlignment="1" applyBorder="1" applyFill="1" applyFont="1">
      <alignment horizontal="center" vertical="center"/>
    </xf>
    <xf borderId="1" fillId="2" fontId="3" numFmtId="0" xfId="0" applyAlignment="1" applyBorder="1" applyFill="1" applyFont="1">
      <alignment horizontal="center" vertical="center"/>
    </xf>
    <xf borderId="0" fillId="0" fontId="4" numFmtId="49" xfId="0" applyFont="1" applyNumberFormat="1"/>
    <xf borderId="1" fillId="3" fontId="5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9" numFmtId="0" xfId="0" applyAlignment="1" applyFont="1">
      <alignment horizontal="center" shrinkToFit="0" vertical="center" wrapText="1"/>
    </xf>
    <xf borderId="0" fillId="0" fontId="4" numFmtId="0" xfId="0" applyFont="1"/>
    <xf borderId="0" fillId="0" fontId="9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solid">
          <fgColor rgb="FFFF0000"/>
          <bgColor rgb="FFFF0000"/>
        </patternFill>
      </fill>
      <border/>
    </dxf>
    <dxf>
      <font>
        <i/>
        <strike/>
        <color rgb="FF666666"/>
      </font>
      <fill>
        <patternFill patternType="none"/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34.0"/>
    <col customWidth="1" hidden="1" min="3" max="3" width="15.13"/>
    <col customWidth="1" min="4" max="5" width="13.75"/>
    <col customWidth="1" min="6" max="6" width="14.88"/>
    <col customWidth="1" min="7" max="7" width="37.5"/>
    <col customWidth="1" min="8" max="8" width="23.5"/>
    <col customWidth="1" min="9" max="9" width="22.5"/>
    <col customWidth="1" min="10" max="10" width="41.75"/>
    <col customWidth="1" min="11" max="11" width="46.25"/>
    <col customWidth="1" min="12" max="12" width="43.25"/>
    <col customWidth="1" min="13" max="13" width="18.63"/>
    <col customWidth="1" min="14" max="14" width="17.25"/>
  </cols>
  <sheetData>
    <row r="1">
      <c r="A1" s="2" t="s">
        <v>1</v>
      </c>
      <c r="B1" s="3" t="s">
        <v>3</v>
      </c>
      <c r="C1" s="5" t="str">
        <f>IFERROR(__xludf.DUMMYFUNCTION("QUERY(
  IMPORTRANGE(""13Vh8YP_CHLMO8sXyrDykoSYYo1ZsP9k09I8S6MWTHMc"", ""BENEFICIARI!A:Q""),
  ""select Col1, Col2, Col7, Col8, Col9, Col10, Col11, Col12, Col13, Col14, Col16 where Col2 = 'Nou' or Col2 = 'Prioritar' order by Col2 desc"",
  1
)"),"ID")</f>
        <v>ID</v>
      </c>
      <c r="D1" s="5" t="str">
        <f>IFERROR(__xludf.DUMMYFUNCTION("""COMPUTED_VALUE"""),"Status")</f>
        <v>Status</v>
      </c>
      <c r="E1" s="5" t="str">
        <f>IFERROR(__xludf.DUMMYFUNCTION("""COMPUTED_VALUE"""),"Varsta")</f>
        <v>Varsta</v>
      </c>
      <c r="F1" s="5" t="str">
        <f>IFERROR(__xludf.DUMMYFUNCTION("""COMPUTED_VALUE"""),"Genul")</f>
        <v>Genul</v>
      </c>
      <c r="G1" s="5" t="str">
        <f>IFERROR(__xludf.DUMMYFUNCTION("""COMPUTED_VALUE"""),"Tip sedinte")</f>
        <v>Tip sedinte</v>
      </c>
      <c r="H1" s="5" t="str">
        <f>IFERROR(__xludf.DUMMYFUNCTION("""COMPUTED_VALUE"""),"In afara Clujului")</f>
        <v>In afara Clujului</v>
      </c>
      <c r="I1" s="5" t="str">
        <f>IFERROR(__xludf.DUMMYFUNCTION("""COMPUTED_VALUE"""),"Descriere motiv")</f>
        <v>Descriere motiv</v>
      </c>
      <c r="J1" s="5" t="str">
        <f>IFERROR(__xludf.DUMMYFUNCTION("""COMPUTED_VALUE"""),"Intervale program")</f>
        <v>Intervale program</v>
      </c>
      <c r="K1" s="5" t="str">
        <f>IFERROR(__xludf.DUMMYFUNCTION("""COMPUTED_VALUE"""),"Donatie")</f>
        <v>Donatie</v>
      </c>
      <c r="L1" s="5" t="str">
        <f>IFERROR(__xludf.DUMMYFUNCTION("""COMPUTED_VALUE"""),"Diagnostic")</f>
        <v>Diagnostic</v>
      </c>
      <c r="M1" s="5" t="str">
        <f>IFERROR(__xludf.DUMMYFUNCTION("""COMPUTED_VALUE"""),"Alte informații")</f>
        <v>Alte informații</v>
      </c>
      <c r="N1" s="5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 t="b">
        <v>0</v>
      </c>
      <c r="B2" s="9"/>
      <c r="C2" s="10" t="str">
        <f>IFERROR(__xludf.DUMMYFUNCTION("""COMPUTED_VALUE"""),"B_TH3EVT")</f>
        <v>B_TH3EVT</v>
      </c>
      <c r="D2" s="10" t="str">
        <f>IFERROR(__xludf.DUMMYFUNCTION("""COMPUTED_VALUE"""),"Nou")</f>
        <v>Nou</v>
      </c>
      <c r="E2" s="10" t="str">
        <f>IFERROR(__xludf.DUMMYFUNCTION("""COMPUTED_VALUE"""),"44")</f>
        <v>44</v>
      </c>
      <c r="F2" s="10" t="str">
        <f>IFERROR(__xludf.DUMMYFUNCTION("""COMPUTED_VALUE"""),"Masculin")</f>
        <v>Masculin</v>
      </c>
      <c r="G2" s="10" t="str">
        <f>IFERROR(__xludf.DUMMYFUNCTION("""COMPUTED_VALUE"""),"Ambele variante sunt in regulă.")</f>
        <v>Ambele variante sunt in regulă.</v>
      </c>
      <c r="H2" s="10" t="str">
        <f>IFERROR(__xludf.DUMMYFUNCTION("""COMPUTED_VALUE"""),"Da")</f>
        <v>Da</v>
      </c>
      <c r="I2" s="10" t="str">
        <f>IFERROR(__xludf.DUMMYFUNCTION("""COMPUTED_VALUE"""),"[TEST] motiv")</f>
        <v>[TEST] motiv</v>
      </c>
      <c r="J2" s="10" t="str">
        <f>IFERROR(__xludf.DUMMYFUNCTION("""COMPUTED_VALUE"""),"între orele 9:00-13:00,între orele 13:00-17:00,între orele 17:00-21:00")</f>
        <v>între orele 9:00-13:00,între orele 13:00-17:00,între orele 17:00-21:00</v>
      </c>
      <c r="K2" s="10" t="str">
        <f>IFERROR(__xludf.DUMMYFUNCTION("""COMPUTED_VALUE"""),"venit între 2200 - 2700 RON - donație 130 RON")</f>
        <v>venit între 2200 - 2700 RON - donație 130 RON</v>
      </c>
      <c r="L2" s="10" t="str">
        <f>IFERROR(__xludf.DUMMYFUNCTION("""COMPUTED_VALUE"""),"[TEST] diagnostic")</f>
        <v>[TEST] diagnostic</v>
      </c>
      <c r="M2" s="12" t="str">
        <f>IFERROR(__xludf.DUMMYFUNCTION("""COMPUTED_VALUE"""),"[TEST] alte info")</f>
        <v>[TEST] alte info</v>
      </c>
      <c r="N2" s="12"/>
      <c r="O2" s="12"/>
      <c r="P2" s="12"/>
      <c r="Q2" s="12"/>
      <c r="R2" s="13"/>
      <c r="S2" s="13"/>
      <c r="T2" s="13"/>
      <c r="U2" s="13"/>
      <c r="V2" s="13"/>
      <c r="W2" s="13"/>
      <c r="X2" s="13"/>
      <c r="Y2" s="13"/>
    </row>
    <row r="3">
      <c r="A3" s="7" t="b">
        <v>0</v>
      </c>
      <c r="B3" s="9"/>
      <c r="C3" s="10" t="str">
        <f>IFERROR(__xludf.DUMMYFUNCTION("""COMPUTED_VALUE"""),"B_THDWD9")</f>
        <v>B_THDWD9</v>
      </c>
      <c r="D3" s="10" t="str">
        <f>IFERROR(__xludf.DUMMYFUNCTION("""COMPUTED_VALUE"""),"Nou")</f>
        <v>Nou</v>
      </c>
      <c r="E3" s="10" t="str">
        <f>IFERROR(__xludf.DUMMYFUNCTION("""COMPUTED_VALUE"""),"33")</f>
        <v>33</v>
      </c>
      <c r="F3" s="10" t="str">
        <f>IFERROR(__xludf.DUMMYFUNCTION("""COMPUTED_VALUE"""),"Masculin")</f>
        <v>Masculin</v>
      </c>
      <c r="G3" s="10" t="str">
        <f>IFERROR(__xludf.DUMMYFUNCTION("""COMPUTED_VALUE"""),"Doar fizic (Calea Dorobanților, nr. 74, Cluj-Napoca)")</f>
        <v>Doar fizic (Calea Dorobanților, nr. 74, Cluj-Napoca)</v>
      </c>
      <c r="H3" s="10" t="str">
        <f>IFERROR(__xludf.DUMMYFUNCTION("""COMPUTED_VALUE"""),"Da")</f>
        <v>Da</v>
      </c>
      <c r="I3" s="10" t="str">
        <f>IFERROR(__xludf.DUMMYFUNCTION("""COMPUTED_VALUE"""),"sunt prea robust")</f>
        <v>sunt prea robust</v>
      </c>
      <c r="J3" s="10" t="str">
        <f>IFERROR(__xludf.DUMMYFUNCTION("""COMPUTED_VALUE"""),"între orele 9:00-13:00,între orele 17:00-21:00")</f>
        <v>între orele 9:00-13:00,între orele 17:00-21:00</v>
      </c>
      <c r="K3" s="10" t="str">
        <f>IFERROR(__xludf.DUMMYFUNCTION("""COMPUTED_VALUE"""),"venit între 3200 - 5500 RON - donație 200 RON")</f>
        <v>venit între 3200 - 5500 RON - donație 200 RON</v>
      </c>
      <c r="L3" s="10" t="str">
        <f>IFERROR(__xludf.DUMMYFUNCTION("""COMPUTED_VALUE"""),"nu")</f>
        <v>nu</v>
      </c>
      <c r="M3" s="12"/>
      <c r="N3" s="12"/>
      <c r="O3" s="12"/>
      <c r="P3" s="12"/>
      <c r="Q3" s="12"/>
      <c r="R3" s="13"/>
      <c r="S3" s="13"/>
      <c r="T3" s="13"/>
      <c r="U3" s="13"/>
      <c r="V3" s="13"/>
      <c r="W3" s="13"/>
      <c r="X3" s="13"/>
      <c r="Y3" s="13"/>
    </row>
    <row r="4">
      <c r="A4" s="14" t="b">
        <v>0</v>
      </c>
      <c r="B4" s="15"/>
      <c r="C4" s="10" t="str">
        <f>IFERROR(__xludf.DUMMYFUNCTION("""COMPUTED_VALUE"""),"B_TITTBJ")</f>
        <v>B_TITTBJ</v>
      </c>
      <c r="D4" s="10" t="str">
        <f>IFERROR(__xludf.DUMMYFUNCTION("""COMPUTED_VALUE"""),"Nou")</f>
        <v>Nou</v>
      </c>
      <c r="E4" s="10" t="str">
        <f>IFERROR(__xludf.DUMMYFUNCTION("""COMPUTED_VALUE"""),"44")</f>
        <v>44</v>
      </c>
      <c r="F4" s="10" t="str">
        <f>IFERROR(__xludf.DUMMYFUNCTION("""COMPUTED_VALUE"""),"Masculin")</f>
        <v>Masculin</v>
      </c>
      <c r="G4" s="10" t="str">
        <f>IFERROR(__xludf.DUMMYFUNCTION("""COMPUTED_VALUE"""),"Ambele variante sunt in regulă.")</f>
        <v>Ambele variante sunt in regulă.</v>
      </c>
      <c r="H4" s="10" t="str">
        <f>IFERROR(__xludf.DUMMYFUNCTION("""COMPUTED_VALUE"""),"Nu")</f>
        <v>Nu</v>
      </c>
      <c r="I4" s="10" t="str">
        <f>IFERROR(__xludf.DUMMYFUNCTION("""COMPUTED_VALUE"""),"motiv")</f>
        <v>motiv</v>
      </c>
      <c r="J4" s="10" t="str">
        <f>IFERROR(__xludf.DUMMYFUNCTION("""COMPUTED_VALUE"""),"între orele 9:00-13:00,între orele 13:00-17:00")</f>
        <v>între orele 9:00-13:00,între orele 13:00-17:00</v>
      </c>
      <c r="K4" s="10" t="str">
        <f>IFERROR(__xludf.DUMMYFUNCTION("""COMPUTED_VALUE"""),"venit sub 1000 RON - donație 50 RON")</f>
        <v>venit sub 1000 RON - donație 50 RON</v>
      </c>
      <c r="L4" s="10" t="str">
        <f>IFERROR(__xludf.DUMMYFUNCTION("""COMPUTED_VALUE"""),"diag")</f>
        <v>diag</v>
      </c>
      <c r="M4" s="12" t="str">
        <f>IFERROR(__xludf.DUMMYFUNCTION("""COMPUTED_VALUE"""),"alteinfo")</f>
        <v>alteinfo</v>
      </c>
      <c r="N4" s="12"/>
      <c r="O4" s="12"/>
      <c r="P4" s="12"/>
      <c r="Q4" s="12"/>
      <c r="R4" s="13"/>
      <c r="S4" s="13"/>
      <c r="T4" s="13"/>
      <c r="U4" s="13"/>
      <c r="V4" s="13"/>
      <c r="W4" s="13"/>
      <c r="X4" s="13"/>
      <c r="Y4" s="13"/>
    </row>
    <row r="5">
      <c r="A5" s="14" t="b">
        <v>0</v>
      </c>
      <c r="B5" s="15"/>
      <c r="C5" s="10"/>
      <c r="D5" s="10"/>
      <c r="E5" s="10"/>
      <c r="F5" s="10"/>
      <c r="G5" s="10"/>
      <c r="H5" s="10"/>
      <c r="I5" s="10"/>
      <c r="J5" s="10"/>
      <c r="K5" s="10"/>
      <c r="L5" s="10"/>
      <c r="M5" s="12"/>
      <c r="N5" s="12"/>
      <c r="O5" s="12"/>
      <c r="P5" s="12"/>
      <c r="Q5" s="12"/>
      <c r="R5" s="13"/>
      <c r="S5" s="13"/>
      <c r="T5" s="13"/>
      <c r="U5" s="13"/>
      <c r="V5" s="13"/>
      <c r="W5" s="13"/>
      <c r="X5" s="13"/>
      <c r="Y5" s="13"/>
    </row>
    <row r="6">
      <c r="A6" s="7" t="b">
        <v>0</v>
      </c>
      <c r="B6" s="15"/>
      <c r="C6" s="10"/>
      <c r="D6" s="10"/>
      <c r="E6" s="10"/>
      <c r="F6" s="10"/>
      <c r="G6" s="10"/>
      <c r="H6" s="10"/>
      <c r="I6" s="10"/>
      <c r="J6" s="10"/>
      <c r="K6" s="10"/>
      <c r="L6" s="10"/>
      <c r="M6" s="12"/>
      <c r="N6" s="12"/>
      <c r="O6" s="12"/>
      <c r="P6" s="12"/>
      <c r="Q6" s="12"/>
      <c r="R6" s="13"/>
      <c r="S6" s="13"/>
      <c r="T6" s="13"/>
      <c r="U6" s="13"/>
      <c r="V6" s="13"/>
      <c r="W6" s="13"/>
      <c r="X6" s="13"/>
      <c r="Y6" s="13"/>
    </row>
    <row r="7">
      <c r="A7" s="14" t="b">
        <v>0</v>
      </c>
      <c r="B7" s="15"/>
      <c r="C7" s="10"/>
      <c r="D7" s="10"/>
      <c r="E7" s="10"/>
      <c r="F7" s="10"/>
      <c r="G7" s="10"/>
      <c r="H7" s="10"/>
      <c r="I7" s="10"/>
      <c r="J7" s="10"/>
      <c r="K7" s="10"/>
      <c r="L7" s="10"/>
      <c r="M7" s="12"/>
      <c r="N7" s="12"/>
      <c r="O7" s="12"/>
      <c r="P7" s="12"/>
      <c r="Q7" s="12"/>
      <c r="R7" s="13"/>
      <c r="S7" s="13"/>
      <c r="T7" s="13"/>
      <c r="U7" s="13"/>
      <c r="V7" s="13"/>
      <c r="W7" s="13"/>
      <c r="X7" s="13"/>
      <c r="Y7" s="13"/>
    </row>
    <row r="8">
      <c r="A8" s="7" t="b">
        <v>0</v>
      </c>
      <c r="B8" s="15"/>
      <c r="C8" s="10"/>
      <c r="D8" s="10"/>
      <c r="E8" s="10"/>
      <c r="F8" s="10"/>
      <c r="G8" s="10"/>
      <c r="H8" s="10"/>
      <c r="I8" s="10"/>
      <c r="J8" s="10"/>
      <c r="K8" s="16"/>
      <c r="L8" s="16"/>
      <c r="M8" s="17"/>
      <c r="N8" s="17"/>
      <c r="O8" s="17"/>
      <c r="P8" s="17"/>
      <c r="Q8" s="17"/>
      <c r="R8" s="18"/>
      <c r="S8" s="18"/>
      <c r="T8" s="18"/>
      <c r="U8" s="18"/>
      <c r="V8" s="18"/>
      <c r="W8" s="18"/>
      <c r="X8" s="18"/>
      <c r="Y8" s="18"/>
    </row>
    <row r="9">
      <c r="A9" s="14" t="b">
        <v>0</v>
      </c>
      <c r="B9" s="15"/>
      <c r="C9" s="10"/>
      <c r="D9" s="10"/>
      <c r="E9" s="10"/>
      <c r="F9" s="10"/>
      <c r="G9" s="10"/>
      <c r="H9" s="10"/>
      <c r="I9" s="10"/>
      <c r="J9" s="10"/>
      <c r="K9" s="10"/>
      <c r="L9" s="10"/>
      <c r="M9" s="12"/>
      <c r="N9" s="12"/>
      <c r="O9" s="12"/>
      <c r="P9" s="12"/>
      <c r="Q9" s="12"/>
      <c r="R9" s="13"/>
      <c r="S9" s="13"/>
      <c r="T9" s="13"/>
      <c r="U9" s="13"/>
      <c r="V9" s="13"/>
      <c r="W9" s="13"/>
      <c r="X9" s="13"/>
      <c r="Y9" s="13"/>
    </row>
    <row r="10">
      <c r="A10" s="14" t="b">
        <v>0</v>
      </c>
      <c r="B10" s="15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2"/>
      <c r="N10" s="12"/>
      <c r="O10" s="12"/>
      <c r="P10" s="12"/>
      <c r="Q10" s="12"/>
      <c r="R10" s="13"/>
      <c r="S10" s="13"/>
      <c r="T10" s="13"/>
      <c r="U10" s="13"/>
      <c r="V10" s="13"/>
      <c r="W10" s="13"/>
      <c r="X10" s="13"/>
      <c r="Y10" s="13"/>
    </row>
    <row r="11">
      <c r="A11" s="14" t="b">
        <v>0</v>
      </c>
      <c r="B11" s="15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2"/>
      <c r="N11" s="12"/>
      <c r="O11" s="12"/>
      <c r="P11" s="12"/>
      <c r="Q11" s="12"/>
      <c r="R11" s="13"/>
      <c r="S11" s="13"/>
      <c r="T11" s="13"/>
      <c r="U11" s="13"/>
      <c r="V11" s="13"/>
      <c r="W11" s="13"/>
      <c r="X11" s="13"/>
      <c r="Y11" s="13"/>
    </row>
    <row r="12">
      <c r="A12" s="14" t="b">
        <v>0</v>
      </c>
      <c r="B12" s="15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2"/>
      <c r="N12" s="12"/>
      <c r="O12" s="12"/>
      <c r="P12" s="12"/>
      <c r="Q12" s="12"/>
      <c r="R12" s="13"/>
      <c r="S12" s="13"/>
      <c r="T12" s="13"/>
      <c r="U12" s="13"/>
      <c r="V12" s="13"/>
      <c r="W12" s="13"/>
      <c r="X12" s="13"/>
      <c r="Y12" s="13"/>
    </row>
    <row r="13">
      <c r="A13" s="14" t="b">
        <v>0</v>
      </c>
      <c r="B13" s="15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2"/>
      <c r="N13" s="12"/>
      <c r="O13" s="12"/>
      <c r="P13" s="12"/>
      <c r="Q13" s="12"/>
      <c r="R13" s="13"/>
      <c r="S13" s="13"/>
      <c r="T13" s="13"/>
      <c r="U13" s="13"/>
      <c r="V13" s="13"/>
      <c r="W13" s="13"/>
      <c r="X13" s="13"/>
      <c r="Y13" s="13"/>
    </row>
    <row r="14">
      <c r="A14" s="14" t="b">
        <v>0</v>
      </c>
      <c r="B14" s="15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2"/>
      <c r="N14" s="12"/>
      <c r="O14" s="12"/>
      <c r="P14" s="12"/>
      <c r="Q14" s="12"/>
      <c r="R14" s="13"/>
      <c r="S14" s="13"/>
      <c r="T14" s="13"/>
      <c r="U14" s="13"/>
      <c r="V14" s="13"/>
      <c r="W14" s="13"/>
      <c r="X14" s="13"/>
      <c r="Y14" s="13"/>
    </row>
    <row r="15">
      <c r="A15" s="14" t="b">
        <v>0</v>
      </c>
      <c r="B15" s="15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2"/>
      <c r="N15" s="12"/>
      <c r="O15" s="12"/>
      <c r="P15" s="12"/>
      <c r="Q15" s="12"/>
      <c r="R15" s="13"/>
      <c r="S15" s="13"/>
      <c r="T15" s="13"/>
      <c r="U15" s="13"/>
      <c r="V15" s="13"/>
      <c r="W15" s="13"/>
      <c r="X15" s="13"/>
      <c r="Y15" s="13"/>
    </row>
    <row r="16">
      <c r="A16" s="14" t="b">
        <v>0</v>
      </c>
      <c r="B16" s="15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2"/>
      <c r="N16" s="12"/>
      <c r="O16" s="12"/>
      <c r="P16" s="12"/>
      <c r="Q16" s="12"/>
      <c r="R16" s="13"/>
      <c r="S16" s="13"/>
      <c r="T16" s="13"/>
      <c r="U16" s="13"/>
      <c r="V16" s="13"/>
      <c r="W16" s="13"/>
      <c r="X16" s="13"/>
      <c r="Y16" s="13"/>
    </row>
    <row r="17">
      <c r="A17" s="14" t="b">
        <v>0</v>
      </c>
      <c r="B17" s="15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2"/>
      <c r="N17" s="12"/>
      <c r="O17" s="12"/>
      <c r="P17" s="12"/>
      <c r="Q17" s="12"/>
      <c r="R17" s="13"/>
      <c r="S17" s="13"/>
      <c r="T17" s="13"/>
      <c r="U17" s="13"/>
      <c r="V17" s="13"/>
      <c r="W17" s="13"/>
      <c r="X17" s="13"/>
      <c r="Y17" s="13"/>
    </row>
    <row r="18">
      <c r="A18" s="14" t="b">
        <v>0</v>
      </c>
      <c r="B18" s="15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2"/>
      <c r="N18" s="12"/>
      <c r="O18" s="12"/>
      <c r="P18" s="12"/>
      <c r="Q18" s="12"/>
      <c r="R18" s="13"/>
      <c r="S18" s="13"/>
      <c r="T18" s="13"/>
      <c r="U18" s="13"/>
      <c r="V18" s="13"/>
      <c r="W18" s="13"/>
      <c r="X18" s="13"/>
      <c r="Y18" s="13"/>
    </row>
    <row r="19">
      <c r="A19" s="14" t="b">
        <v>0</v>
      </c>
      <c r="B19" s="15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2"/>
      <c r="N19" s="12"/>
      <c r="O19" s="12"/>
      <c r="P19" s="12"/>
      <c r="Q19" s="12"/>
      <c r="R19" s="13"/>
      <c r="S19" s="13"/>
      <c r="T19" s="13"/>
      <c r="U19" s="13"/>
      <c r="V19" s="13"/>
      <c r="W19" s="13"/>
      <c r="X19" s="13"/>
      <c r="Y19" s="13"/>
    </row>
    <row r="20">
      <c r="A20" s="14" t="b">
        <v>0</v>
      </c>
      <c r="B20" s="15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2"/>
      <c r="N20" s="12"/>
      <c r="O20" s="12"/>
      <c r="P20" s="12"/>
      <c r="Q20" s="12"/>
      <c r="R20" s="13"/>
      <c r="S20" s="13"/>
      <c r="T20" s="13"/>
      <c r="U20" s="13"/>
      <c r="V20" s="13"/>
      <c r="W20" s="13"/>
      <c r="X20" s="13"/>
      <c r="Y20" s="13"/>
    </row>
    <row r="21">
      <c r="A21" s="14" t="b">
        <v>0</v>
      </c>
      <c r="B21" s="15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2"/>
      <c r="N21" s="12"/>
      <c r="O21" s="12"/>
      <c r="P21" s="12"/>
      <c r="Q21" s="12"/>
      <c r="R21" s="13"/>
      <c r="S21" s="13"/>
      <c r="T21" s="13"/>
      <c r="U21" s="13"/>
      <c r="V21" s="13"/>
      <c r="W21" s="13"/>
      <c r="X21" s="13"/>
      <c r="Y21" s="13"/>
    </row>
    <row r="22">
      <c r="A22" s="14" t="b">
        <v>0</v>
      </c>
      <c r="B22" s="15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2"/>
      <c r="N22" s="12"/>
      <c r="O22" s="12"/>
      <c r="P22" s="12"/>
      <c r="Q22" s="12"/>
      <c r="R22" s="13"/>
      <c r="S22" s="13"/>
      <c r="T22" s="13"/>
      <c r="U22" s="13"/>
      <c r="V22" s="13"/>
      <c r="W22" s="13"/>
      <c r="X22" s="13"/>
      <c r="Y22" s="13"/>
    </row>
    <row r="23">
      <c r="A23" s="14" t="b">
        <v>0</v>
      </c>
      <c r="B23" s="15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2"/>
      <c r="N23" s="12"/>
      <c r="O23" s="12"/>
      <c r="P23" s="12"/>
      <c r="Q23" s="12"/>
      <c r="R23" s="13"/>
      <c r="S23" s="13"/>
      <c r="T23" s="13"/>
      <c r="U23" s="13"/>
      <c r="V23" s="13"/>
      <c r="W23" s="13"/>
      <c r="X23" s="13"/>
      <c r="Y23" s="13"/>
    </row>
    <row r="24">
      <c r="A24" s="14" t="b">
        <v>0</v>
      </c>
      <c r="B24" s="15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2"/>
      <c r="N24" s="12"/>
      <c r="O24" s="12"/>
      <c r="P24" s="12"/>
      <c r="Q24" s="12"/>
      <c r="R24" s="13"/>
      <c r="S24" s="13"/>
      <c r="T24" s="13"/>
      <c r="U24" s="13"/>
      <c r="V24" s="13"/>
      <c r="W24" s="13"/>
      <c r="X24" s="13"/>
      <c r="Y24" s="13"/>
    </row>
    <row r="25">
      <c r="A25" s="14" t="b">
        <v>0</v>
      </c>
      <c r="B25" s="15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2"/>
      <c r="N25" s="12"/>
      <c r="O25" s="12"/>
      <c r="P25" s="12"/>
      <c r="Q25" s="12"/>
      <c r="R25" s="13"/>
      <c r="S25" s="13"/>
      <c r="T25" s="13"/>
      <c r="U25" s="13"/>
      <c r="V25" s="13"/>
      <c r="W25" s="13"/>
      <c r="X25" s="13"/>
      <c r="Y25" s="13"/>
    </row>
    <row r="26">
      <c r="A26" s="14" t="b">
        <v>0</v>
      </c>
      <c r="B26" s="15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2"/>
      <c r="N26" s="12"/>
      <c r="O26" s="12"/>
      <c r="P26" s="12"/>
      <c r="Q26" s="12"/>
      <c r="R26" s="13"/>
      <c r="S26" s="13"/>
      <c r="T26" s="13"/>
      <c r="U26" s="13"/>
      <c r="V26" s="13"/>
      <c r="W26" s="13"/>
      <c r="X26" s="13"/>
      <c r="Y26" s="13"/>
    </row>
    <row r="27">
      <c r="A27" s="14" t="b">
        <v>0</v>
      </c>
      <c r="B27" s="15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2"/>
      <c r="N27" s="12"/>
      <c r="O27" s="12"/>
      <c r="P27" s="12"/>
      <c r="Q27" s="12"/>
      <c r="R27" s="13"/>
      <c r="S27" s="13"/>
      <c r="T27" s="13"/>
      <c r="U27" s="13"/>
      <c r="V27" s="13"/>
      <c r="W27" s="13"/>
      <c r="X27" s="13"/>
      <c r="Y27" s="13"/>
    </row>
    <row r="28">
      <c r="A28" s="14" t="b">
        <v>0</v>
      </c>
      <c r="B28" s="15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2"/>
      <c r="N28" s="12"/>
      <c r="O28" s="12"/>
      <c r="P28" s="12"/>
      <c r="Q28" s="12"/>
      <c r="R28" s="13"/>
      <c r="S28" s="13"/>
      <c r="T28" s="13"/>
      <c r="U28" s="13"/>
      <c r="V28" s="13"/>
      <c r="W28" s="13"/>
      <c r="X28" s="13"/>
      <c r="Y28" s="13"/>
    </row>
    <row r="29">
      <c r="A29" s="14" t="b">
        <v>0</v>
      </c>
      <c r="B29" s="15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2"/>
      <c r="N29" s="12"/>
      <c r="O29" s="12"/>
      <c r="P29" s="12"/>
      <c r="Q29" s="12"/>
      <c r="R29" s="13"/>
      <c r="S29" s="13"/>
      <c r="T29" s="13"/>
      <c r="U29" s="13"/>
      <c r="V29" s="13"/>
      <c r="W29" s="13"/>
      <c r="X29" s="13"/>
      <c r="Y29" s="13"/>
    </row>
    <row r="30">
      <c r="A30" s="14" t="b">
        <v>0</v>
      </c>
      <c r="B30" s="15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2"/>
      <c r="N30" s="12"/>
      <c r="O30" s="12"/>
      <c r="P30" s="12"/>
      <c r="Q30" s="12"/>
      <c r="R30" s="13"/>
      <c r="S30" s="13"/>
      <c r="T30" s="13"/>
      <c r="U30" s="13"/>
      <c r="V30" s="13"/>
      <c r="W30" s="13"/>
      <c r="X30" s="13"/>
      <c r="Y30" s="13"/>
    </row>
    <row r="31">
      <c r="A31" s="14" t="b">
        <v>0</v>
      </c>
      <c r="B31" s="15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2"/>
      <c r="N31" s="12"/>
      <c r="O31" s="12"/>
      <c r="P31" s="12"/>
      <c r="Q31" s="12"/>
      <c r="R31" s="13"/>
      <c r="S31" s="13"/>
      <c r="T31" s="13"/>
      <c r="U31" s="13"/>
      <c r="V31" s="13"/>
      <c r="W31" s="13"/>
      <c r="X31" s="13"/>
      <c r="Y31" s="13"/>
    </row>
    <row r="32">
      <c r="A32" s="14" t="b">
        <v>0</v>
      </c>
      <c r="B32" s="15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2"/>
      <c r="N32" s="12"/>
      <c r="O32" s="12"/>
      <c r="P32" s="12"/>
      <c r="Q32" s="12"/>
      <c r="R32" s="13"/>
      <c r="S32" s="13"/>
      <c r="T32" s="13"/>
      <c r="U32" s="13"/>
      <c r="V32" s="13"/>
      <c r="W32" s="13"/>
      <c r="X32" s="13"/>
      <c r="Y32" s="13"/>
    </row>
    <row r="33">
      <c r="A33" s="14" t="b">
        <v>0</v>
      </c>
      <c r="B33" s="1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2"/>
      <c r="N33" s="12"/>
      <c r="O33" s="12"/>
      <c r="P33" s="12"/>
      <c r="Q33" s="12"/>
      <c r="R33" s="13"/>
      <c r="S33" s="13"/>
      <c r="T33" s="13"/>
      <c r="U33" s="13"/>
      <c r="V33" s="13"/>
      <c r="W33" s="13"/>
      <c r="X33" s="13"/>
      <c r="Y33" s="13"/>
    </row>
    <row r="34">
      <c r="A34" s="14" t="b">
        <v>0</v>
      </c>
      <c r="B34" s="15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2"/>
      <c r="N34" s="12"/>
      <c r="O34" s="12"/>
      <c r="P34" s="12"/>
      <c r="Q34" s="12"/>
      <c r="R34" s="13"/>
      <c r="S34" s="13"/>
      <c r="T34" s="13"/>
      <c r="U34" s="13"/>
      <c r="V34" s="13"/>
      <c r="W34" s="13"/>
      <c r="X34" s="13"/>
      <c r="Y34" s="13"/>
    </row>
    <row r="35">
      <c r="A35" s="14" t="b">
        <v>0</v>
      </c>
      <c r="B35" s="15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2"/>
      <c r="N35" s="12"/>
      <c r="O35" s="12"/>
      <c r="P35" s="12"/>
      <c r="Q35" s="12"/>
      <c r="R35" s="13"/>
      <c r="S35" s="13"/>
      <c r="T35" s="13"/>
      <c r="U35" s="13"/>
      <c r="V35" s="13"/>
      <c r="W35" s="13"/>
      <c r="X35" s="13"/>
      <c r="Y35" s="13"/>
    </row>
    <row r="36">
      <c r="A36" s="14" t="b">
        <v>0</v>
      </c>
      <c r="B36" s="15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2"/>
      <c r="N36" s="12"/>
      <c r="O36" s="12"/>
      <c r="P36" s="12"/>
      <c r="Q36" s="12"/>
      <c r="R36" s="13"/>
      <c r="S36" s="13"/>
      <c r="T36" s="13"/>
      <c r="U36" s="13"/>
      <c r="V36" s="13"/>
      <c r="W36" s="13"/>
      <c r="X36" s="13"/>
      <c r="Y36" s="13"/>
    </row>
    <row r="37">
      <c r="A37" s="14" t="b">
        <v>0</v>
      </c>
      <c r="B37" s="15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2"/>
      <c r="N37" s="12"/>
      <c r="O37" s="12"/>
      <c r="P37" s="12"/>
      <c r="Q37" s="12"/>
      <c r="R37" s="13"/>
      <c r="S37" s="13"/>
      <c r="T37" s="13"/>
      <c r="U37" s="13"/>
      <c r="V37" s="13"/>
      <c r="W37" s="13"/>
      <c r="X37" s="13"/>
      <c r="Y37" s="13"/>
    </row>
    <row r="38">
      <c r="A38" s="14" t="b">
        <v>0</v>
      </c>
      <c r="B38" s="15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2"/>
      <c r="N38" s="12"/>
      <c r="O38" s="12"/>
      <c r="P38" s="12"/>
      <c r="Q38" s="12"/>
      <c r="R38" s="13"/>
      <c r="S38" s="13"/>
      <c r="T38" s="13"/>
      <c r="U38" s="13"/>
      <c r="V38" s="13"/>
      <c r="W38" s="13"/>
      <c r="X38" s="13"/>
      <c r="Y38" s="13"/>
    </row>
    <row r="39">
      <c r="A39" s="14" t="b">
        <v>0</v>
      </c>
      <c r="B39" s="15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2"/>
      <c r="N39" s="12"/>
      <c r="O39" s="12"/>
      <c r="P39" s="12"/>
      <c r="Q39" s="12"/>
      <c r="R39" s="13"/>
      <c r="S39" s="13"/>
      <c r="T39" s="13"/>
      <c r="U39" s="13"/>
      <c r="V39" s="13"/>
      <c r="W39" s="13"/>
      <c r="X39" s="13"/>
      <c r="Y39" s="13"/>
    </row>
    <row r="40">
      <c r="A40" s="14" t="b">
        <v>0</v>
      </c>
      <c r="B40" s="15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2"/>
      <c r="N40" s="12"/>
      <c r="O40" s="12"/>
      <c r="P40" s="12"/>
      <c r="Q40" s="12"/>
      <c r="R40" s="13"/>
      <c r="S40" s="13"/>
      <c r="T40" s="13"/>
      <c r="U40" s="13"/>
      <c r="V40" s="13"/>
      <c r="W40" s="13"/>
      <c r="X40" s="13"/>
      <c r="Y40" s="13"/>
    </row>
    <row r="41">
      <c r="A41" s="14" t="b">
        <v>0</v>
      </c>
      <c r="B41" s="15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2"/>
      <c r="N41" s="12"/>
      <c r="O41" s="12"/>
      <c r="P41" s="12"/>
      <c r="Q41" s="12"/>
      <c r="R41" s="13"/>
      <c r="S41" s="13"/>
      <c r="T41" s="13"/>
      <c r="U41" s="13"/>
      <c r="V41" s="13"/>
      <c r="W41" s="13"/>
      <c r="X41" s="13"/>
      <c r="Y41" s="13"/>
    </row>
    <row r="42">
      <c r="A42" s="14" t="b">
        <v>0</v>
      </c>
      <c r="B42" s="15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2"/>
      <c r="N42" s="12"/>
      <c r="O42" s="12"/>
      <c r="P42" s="12"/>
      <c r="Q42" s="12"/>
      <c r="R42" s="13"/>
      <c r="S42" s="13"/>
      <c r="T42" s="13"/>
      <c r="U42" s="13"/>
      <c r="V42" s="13"/>
      <c r="W42" s="13"/>
      <c r="X42" s="13"/>
      <c r="Y42" s="13"/>
    </row>
    <row r="43">
      <c r="A43" s="14" t="b">
        <v>0</v>
      </c>
      <c r="B43" s="15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2"/>
      <c r="N43" s="12"/>
      <c r="O43" s="12"/>
      <c r="P43" s="12"/>
      <c r="Q43" s="12"/>
      <c r="R43" s="13"/>
      <c r="S43" s="13"/>
      <c r="T43" s="13"/>
      <c r="U43" s="13"/>
      <c r="V43" s="13"/>
      <c r="W43" s="13"/>
      <c r="X43" s="13"/>
      <c r="Y43" s="13"/>
    </row>
    <row r="44">
      <c r="A44" s="14" t="b">
        <v>0</v>
      </c>
      <c r="B44" s="15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2"/>
      <c r="N44" s="12"/>
      <c r="O44" s="12"/>
      <c r="P44" s="12"/>
      <c r="Q44" s="12"/>
      <c r="R44" s="13"/>
      <c r="S44" s="13"/>
      <c r="T44" s="13"/>
      <c r="U44" s="13"/>
      <c r="V44" s="13"/>
      <c r="W44" s="13"/>
      <c r="X44" s="13"/>
      <c r="Y44" s="13"/>
    </row>
    <row r="45">
      <c r="A45" s="14" t="b">
        <v>0</v>
      </c>
      <c r="B45" s="15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2"/>
      <c r="N45" s="12"/>
      <c r="O45" s="12"/>
      <c r="P45" s="12"/>
      <c r="Q45" s="12"/>
      <c r="R45" s="13"/>
      <c r="S45" s="13"/>
      <c r="T45" s="13"/>
      <c r="U45" s="13"/>
      <c r="V45" s="13"/>
      <c r="W45" s="13"/>
      <c r="X45" s="13"/>
      <c r="Y45" s="13"/>
    </row>
    <row r="46">
      <c r="A46" s="14" t="b">
        <v>0</v>
      </c>
      <c r="B46" s="15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2"/>
      <c r="N46" s="12"/>
      <c r="O46" s="12"/>
      <c r="P46" s="12"/>
      <c r="Q46" s="12"/>
      <c r="R46" s="13"/>
      <c r="S46" s="13"/>
      <c r="T46" s="13"/>
      <c r="U46" s="13"/>
      <c r="V46" s="13"/>
      <c r="W46" s="13"/>
      <c r="X46" s="13"/>
      <c r="Y46" s="13"/>
    </row>
    <row r="47">
      <c r="A47" s="14" t="b">
        <v>0</v>
      </c>
      <c r="B47" s="15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2"/>
      <c r="N47" s="12"/>
      <c r="O47" s="12"/>
      <c r="P47" s="12"/>
      <c r="Q47" s="12"/>
      <c r="R47" s="13"/>
      <c r="S47" s="13"/>
      <c r="T47" s="13"/>
      <c r="U47" s="13"/>
      <c r="V47" s="13"/>
      <c r="W47" s="13"/>
      <c r="X47" s="13"/>
      <c r="Y47" s="13"/>
    </row>
    <row r="48">
      <c r="A48" s="14" t="b">
        <v>0</v>
      </c>
      <c r="B48" s="15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2"/>
      <c r="N48" s="12"/>
      <c r="O48" s="12"/>
      <c r="P48" s="12"/>
      <c r="Q48" s="12"/>
      <c r="R48" s="13"/>
      <c r="S48" s="13"/>
      <c r="T48" s="13"/>
      <c r="U48" s="13"/>
      <c r="V48" s="13"/>
      <c r="W48" s="13"/>
      <c r="X48" s="13"/>
      <c r="Y48" s="13"/>
    </row>
    <row r="49">
      <c r="A49" s="14" t="b">
        <v>0</v>
      </c>
      <c r="B49" s="15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2"/>
      <c r="N49" s="12"/>
      <c r="O49" s="12"/>
      <c r="P49" s="12"/>
      <c r="Q49" s="12"/>
      <c r="R49" s="13"/>
      <c r="S49" s="13"/>
      <c r="T49" s="13"/>
      <c r="U49" s="13"/>
      <c r="V49" s="13"/>
      <c r="W49" s="13"/>
      <c r="X49" s="13"/>
      <c r="Y49" s="13"/>
    </row>
    <row r="50">
      <c r="A50" s="14" t="b">
        <v>0</v>
      </c>
      <c r="B50" s="15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2"/>
      <c r="N50" s="12"/>
      <c r="O50" s="12"/>
      <c r="P50" s="12"/>
      <c r="Q50" s="12"/>
      <c r="R50" s="13"/>
      <c r="S50" s="13"/>
      <c r="T50" s="13"/>
      <c r="U50" s="13"/>
      <c r="V50" s="13"/>
      <c r="W50" s="13"/>
      <c r="X50" s="13"/>
      <c r="Y50" s="13"/>
    </row>
    <row r="51">
      <c r="A51" s="14" t="b">
        <v>0</v>
      </c>
      <c r="B51" s="15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2"/>
      <c r="N51" s="12"/>
      <c r="O51" s="12"/>
      <c r="P51" s="12"/>
      <c r="Q51" s="12"/>
      <c r="R51" s="13"/>
      <c r="S51" s="13"/>
      <c r="T51" s="13"/>
      <c r="U51" s="13"/>
      <c r="V51" s="13"/>
      <c r="W51" s="13"/>
      <c r="X51" s="13"/>
      <c r="Y51" s="13"/>
    </row>
    <row r="52">
      <c r="A52" s="14" t="b">
        <v>0</v>
      </c>
      <c r="B52" s="15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2"/>
      <c r="N52" s="12"/>
      <c r="O52" s="12"/>
      <c r="P52" s="12"/>
      <c r="Q52" s="12"/>
      <c r="R52" s="13"/>
      <c r="S52" s="13"/>
      <c r="T52" s="13"/>
      <c r="U52" s="13"/>
      <c r="V52" s="13"/>
      <c r="W52" s="13"/>
      <c r="X52" s="13"/>
      <c r="Y52" s="13"/>
    </row>
    <row r="53">
      <c r="A53" s="14" t="b">
        <v>0</v>
      </c>
      <c r="B53" s="15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2"/>
      <c r="N53" s="12"/>
      <c r="O53" s="12"/>
      <c r="P53" s="12"/>
      <c r="Q53" s="12"/>
      <c r="R53" s="13"/>
      <c r="S53" s="13"/>
      <c r="T53" s="13"/>
      <c r="U53" s="13"/>
      <c r="V53" s="13"/>
      <c r="W53" s="13"/>
      <c r="X53" s="13"/>
      <c r="Y53" s="13"/>
    </row>
    <row r="54">
      <c r="A54" s="14" t="b">
        <v>0</v>
      </c>
      <c r="B54" s="15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2"/>
      <c r="N54" s="12"/>
      <c r="O54" s="12"/>
      <c r="P54" s="12"/>
      <c r="Q54" s="12"/>
      <c r="R54" s="13"/>
      <c r="S54" s="13"/>
      <c r="T54" s="13"/>
      <c r="U54" s="13"/>
      <c r="V54" s="13"/>
      <c r="W54" s="13"/>
      <c r="X54" s="13"/>
      <c r="Y54" s="13"/>
    </row>
    <row r="55">
      <c r="A55" s="14" t="b">
        <v>0</v>
      </c>
      <c r="B55" s="15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2"/>
      <c r="N55" s="12"/>
      <c r="O55" s="12"/>
      <c r="P55" s="12"/>
      <c r="Q55" s="12"/>
      <c r="R55" s="13"/>
      <c r="S55" s="13"/>
      <c r="T55" s="13"/>
      <c r="U55" s="13"/>
      <c r="V55" s="13"/>
      <c r="W55" s="13"/>
      <c r="X55" s="13"/>
      <c r="Y55" s="13"/>
    </row>
    <row r="56">
      <c r="A56" s="14" t="b">
        <v>0</v>
      </c>
      <c r="B56" s="15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2"/>
      <c r="N56" s="12"/>
      <c r="O56" s="12"/>
      <c r="P56" s="12"/>
      <c r="Q56" s="12"/>
      <c r="R56" s="13"/>
      <c r="S56" s="13"/>
      <c r="T56" s="13"/>
      <c r="U56" s="13"/>
      <c r="V56" s="13"/>
      <c r="W56" s="13"/>
      <c r="X56" s="13"/>
      <c r="Y56" s="13"/>
    </row>
    <row r="57">
      <c r="A57" s="14" t="b">
        <v>0</v>
      </c>
      <c r="B57" s="15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2"/>
      <c r="N57" s="12"/>
      <c r="O57" s="12"/>
      <c r="P57" s="12"/>
      <c r="Q57" s="12"/>
      <c r="R57" s="13"/>
      <c r="S57" s="13"/>
      <c r="T57" s="13"/>
      <c r="U57" s="13"/>
      <c r="V57" s="13"/>
      <c r="W57" s="13"/>
      <c r="X57" s="13"/>
      <c r="Y57" s="13"/>
    </row>
    <row r="58">
      <c r="A58" s="14" t="b">
        <v>0</v>
      </c>
      <c r="B58" s="15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2"/>
      <c r="N58" s="12"/>
      <c r="O58" s="12"/>
      <c r="P58" s="12"/>
      <c r="Q58" s="12"/>
      <c r="R58" s="13"/>
      <c r="S58" s="13"/>
      <c r="T58" s="13"/>
      <c r="U58" s="13"/>
      <c r="V58" s="13"/>
      <c r="W58" s="13"/>
      <c r="X58" s="13"/>
      <c r="Y58" s="13"/>
    </row>
    <row r="59">
      <c r="A59" s="14" t="b">
        <v>0</v>
      </c>
      <c r="B59" s="15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2"/>
      <c r="N59" s="12"/>
      <c r="O59" s="12"/>
      <c r="P59" s="12"/>
      <c r="Q59" s="12"/>
      <c r="R59" s="13"/>
      <c r="S59" s="13"/>
      <c r="T59" s="13"/>
      <c r="U59" s="13"/>
      <c r="V59" s="13"/>
      <c r="W59" s="13"/>
      <c r="X59" s="13"/>
      <c r="Y59" s="13"/>
    </row>
    <row r="60">
      <c r="A60" s="14" t="b">
        <v>0</v>
      </c>
      <c r="B60" s="15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2"/>
      <c r="N60" s="12"/>
      <c r="O60" s="12"/>
      <c r="P60" s="12"/>
      <c r="Q60" s="12"/>
      <c r="R60" s="13"/>
      <c r="S60" s="13"/>
      <c r="T60" s="13"/>
      <c r="U60" s="13"/>
      <c r="V60" s="13"/>
      <c r="W60" s="13"/>
      <c r="X60" s="13"/>
      <c r="Y60" s="13"/>
    </row>
    <row r="61">
      <c r="A61" s="14" t="b">
        <v>0</v>
      </c>
      <c r="B61" s="15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2"/>
      <c r="N61" s="12"/>
      <c r="O61" s="12"/>
      <c r="P61" s="12"/>
      <c r="Q61" s="12"/>
      <c r="R61" s="13"/>
      <c r="S61" s="13"/>
      <c r="T61" s="13"/>
      <c r="U61" s="13"/>
      <c r="V61" s="13"/>
      <c r="W61" s="13"/>
      <c r="X61" s="13"/>
      <c r="Y61" s="13"/>
    </row>
    <row r="62">
      <c r="A62" s="14" t="b">
        <v>0</v>
      </c>
      <c r="B62" s="15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2"/>
      <c r="N62" s="12"/>
      <c r="O62" s="12"/>
      <c r="P62" s="12"/>
      <c r="Q62" s="12"/>
      <c r="R62" s="13"/>
      <c r="S62" s="13"/>
      <c r="T62" s="13"/>
      <c r="U62" s="13"/>
      <c r="V62" s="13"/>
      <c r="W62" s="13"/>
      <c r="X62" s="13"/>
      <c r="Y62" s="13"/>
    </row>
    <row r="63">
      <c r="A63" s="14" t="b">
        <v>0</v>
      </c>
      <c r="B63" s="15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2"/>
      <c r="N63" s="12"/>
      <c r="O63" s="12"/>
      <c r="P63" s="12"/>
      <c r="Q63" s="12"/>
      <c r="R63" s="13"/>
      <c r="S63" s="13"/>
      <c r="T63" s="13"/>
      <c r="U63" s="13"/>
      <c r="V63" s="13"/>
      <c r="W63" s="13"/>
      <c r="X63" s="13"/>
      <c r="Y63" s="13"/>
    </row>
    <row r="64">
      <c r="A64" s="14" t="b">
        <v>0</v>
      </c>
      <c r="B64" s="15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2"/>
      <c r="N64" s="12"/>
      <c r="O64" s="12"/>
      <c r="P64" s="12"/>
      <c r="Q64" s="12"/>
      <c r="R64" s="13"/>
      <c r="S64" s="13"/>
      <c r="T64" s="13"/>
      <c r="U64" s="13"/>
      <c r="V64" s="13"/>
      <c r="W64" s="13"/>
      <c r="X64" s="13"/>
      <c r="Y64" s="13"/>
    </row>
    <row r="65">
      <c r="A65" s="14" t="b">
        <v>0</v>
      </c>
      <c r="B65" s="15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2"/>
      <c r="N65" s="12"/>
      <c r="O65" s="12"/>
      <c r="P65" s="12"/>
      <c r="Q65" s="12"/>
      <c r="R65" s="13"/>
      <c r="S65" s="13"/>
      <c r="T65" s="13"/>
      <c r="U65" s="13"/>
      <c r="V65" s="13"/>
      <c r="W65" s="13"/>
      <c r="X65" s="13"/>
      <c r="Y65" s="13"/>
    </row>
    <row r="66">
      <c r="A66" s="14" t="b">
        <v>0</v>
      </c>
      <c r="B66" s="15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2"/>
      <c r="N66" s="12"/>
      <c r="O66" s="12"/>
      <c r="P66" s="12"/>
      <c r="Q66" s="12"/>
      <c r="R66" s="13"/>
      <c r="S66" s="13"/>
      <c r="T66" s="13"/>
      <c r="U66" s="13"/>
      <c r="V66" s="13"/>
      <c r="W66" s="13"/>
      <c r="X66" s="13"/>
      <c r="Y66" s="13"/>
    </row>
    <row r="67">
      <c r="A67" s="14" t="b">
        <v>0</v>
      </c>
      <c r="B67" s="15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2"/>
      <c r="N67" s="12"/>
      <c r="O67" s="12"/>
      <c r="P67" s="12"/>
      <c r="Q67" s="12"/>
      <c r="R67" s="13"/>
      <c r="S67" s="13"/>
      <c r="T67" s="13"/>
      <c r="U67" s="13"/>
      <c r="V67" s="13"/>
      <c r="W67" s="13"/>
      <c r="X67" s="13"/>
      <c r="Y67" s="13"/>
    </row>
    <row r="68">
      <c r="A68" s="14" t="b">
        <v>0</v>
      </c>
      <c r="B68" s="15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2"/>
      <c r="N68" s="12"/>
      <c r="O68" s="12"/>
      <c r="P68" s="12"/>
      <c r="Q68" s="12"/>
      <c r="R68" s="13"/>
      <c r="S68" s="13"/>
      <c r="T68" s="13"/>
      <c r="U68" s="13"/>
      <c r="V68" s="13"/>
      <c r="W68" s="13"/>
      <c r="X68" s="13"/>
      <c r="Y68" s="13"/>
    </row>
    <row r="69">
      <c r="A69" s="14" t="b">
        <v>0</v>
      </c>
      <c r="B69" s="15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2"/>
      <c r="N69" s="12"/>
      <c r="O69" s="12"/>
      <c r="P69" s="12"/>
      <c r="Q69" s="12"/>
      <c r="R69" s="13"/>
      <c r="S69" s="13"/>
      <c r="T69" s="13"/>
      <c r="U69" s="13"/>
      <c r="V69" s="13"/>
      <c r="W69" s="13"/>
      <c r="X69" s="13"/>
      <c r="Y69" s="13"/>
    </row>
    <row r="70">
      <c r="A70" s="14" t="b">
        <v>0</v>
      </c>
      <c r="B70" s="15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2"/>
      <c r="N70" s="12"/>
      <c r="O70" s="12"/>
      <c r="P70" s="12"/>
      <c r="Q70" s="12"/>
      <c r="R70" s="13"/>
      <c r="S70" s="13"/>
      <c r="T70" s="13"/>
      <c r="U70" s="13"/>
      <c r="V70" s="13"/>
      <c r="W70" s="13"/>
      <c r="X70" s="13"/>
      <c r="Y70" s="13"/>
    </row>
    <row r="71">
      <c r="A71" s="14" t="b">
        <v>0</v>
      </c>
      <c r="B71" s="15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2"/>
      <c r="N71" s="12"/>
      <c r="O71" s="12"/>
      <c r="P71" s="12"/>
      <c r="Q71" s="12"/>
      <c r="R71" s="13"/>
      <c r="S71" s="13"/>
      <c r="T71" s="13"/>
      <c r="U71" s="13"/>
      <c r="V71" s="13"/>
      <c r="W71" s="13"/>
      <c r="X71" s="13"/>
      <c r="Y71" s="13"/>
    </row>
    <row r="72">
      <c r="A72" s="14" t="b">
        <v>0</v>
      </c>
      <c r="B72" s="15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2"/>
      <c r="N72" s="12"/>
      <c r="O72" s="12"/>
      <c r="P72" s="12"/>
      <c r="Q72" s="12"/>
      <c r="R72" s="13"/>
      <c r="S72" s="13"/>
      <c r="T72" s="13"/>
      <c r="U72" s="13"/>
      <c r="V72" s="13"/>
      <c r="W72" s="13"/>
      <c r="X72" s="13"/>
      <c r="Y72" s="13"/>
    </row>
    <row r="73">
      <c r="A73" s="14" t="b">
        <v>0</v>
      </c>
      <c r="B73" s="15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2"/>
      <c r="N73" s="12"/>
      <c r="O73" s="12"/>
      <c r="P73" s="12"/>
      <c r="Q73" s="12"/>
      <c r="R73" s="13"/>
      <c r="S73" s="13"/>
      <c r="T73" s="13"/>
      <c r="U73" s="13"/>
      <c r="V73" s="13"/>
      <c r="W73" s="13"/>
      <c r="X73" s="13"/>
      <c r="Y73" s="13"/>
    </row>
    <row r="74">
      <c r="A74" s="14" t="b">
        <v>0</v>
      </c>
      <c r="B74" s="15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2"/>
      <c r="N74" s="12"/>
      <c r="O74" s="12"/>
      <c r="P74" s="12"/>
      <c r="Q74" s="12"/>
      <c r="R74" s="13"/>
      <c r="S74" s="13"/>
      <c r="T74" s="13"/>
      <c r="U74" s="13"/>
      <c r="V74" s="13"/>
      <c r="W74" s="13"/>
      <c r="X74" s="13"/>
      <c r="Y74" s="13"/>
    </row>
    <row r="75">
      <c r="A75" s="14" t="b">
        <v>0</v>
      </c>
      <c r="B75" s="15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2"/>
      <c r="N75" s="12"/>
      <c r="O75" s="12"/>
      <c r="P75" s="12"/>
      <c r="Q75" s="12"/>
      <c r="R75" s="13"/>
      <c r="S75" s="13"/>
      <c r="T75" s="13"/>
      <c r="U75" s="13"/>
      <c r="V75" s="13"/>
      <c r="W75" s="13"/>
      <c r="X75" s="13"/>
      <c r="Y75" s="13"/>
    </row>
    <row r="76">
      <c r="A76" s="14" t="b">
        <v>0</v>
      </c>
      <c r="B76" s="15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2"/>
      <c r="N76" s="12"/>
      <c r="O76" s="12"/>
      <c r="P76" s="12"/>
      <c r="Q76" s="12"/>
      <c r="R76" s="13"/>
      <c r="S76" s="13"/>
      <c r="T76" s="13"/>
      <c r="U76" s="13"/>
      <c r="V76" s="13"/>
      <c r="W76" s="13"/>
      <c r="X76" s="13"/>
      <c r="Y76" s="13"/>
    </row>
    <row r="77">
      <c r="A77" s="14" t="b">
        <v>0</v>
      </c>
      <c r="B77" s="15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2"/>
      <c r="N77" s="12"/>
      <c r="O77" s="12"/>
      <c r="P77" s="12"/>
      <c r="Q77" s="12"/>
      <c r="R77" s="13"/>
      <c r="S77" s="13"/>
      <c r="T77" s="13"/>
      <c r="U77" s="13"/>
      <c r="V77" s="13"/>
      <c r="W77" s="13"/>
      <c r="X77" s="13"/>
      <c r="Y77" s="13"/>
    </row>
    <row r="78">
      <c r="A78" s="14" t="b">
        <v>0</v>
      </c>
      <c r="B78" s="15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2"/>
      <c r="N78" s="12"/>
      <c r="O78" s="12"/>
      <c r="P78" s="12"/>
      <c r="Q78" s="12"/>
      <c r="R78" s="13"/>
      <c r="S78" s="13"/>
      <c r="T78" s="13"/>
      <c r="U78" s="13"/>
      <c r="V78" s="13"/>
      <c r="W78" s="13"/>
      <c r="X78" s="13"/>
      <c r="Y78" s="13"/>
    </row>
    <row r="79">
      <c r="A79" s="14" t="b">
        <v>0</v>
      </c>
      <c r="B79" s="15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2"/>
      <c r="N79" s="12"/>
      <c r="O79" s="12"/>
      <c r="P79" s="12"/>
      <c r="Q79" s="12"/>
      <c r="R79" s="13"/>
      <c r="S79" s="13"/>
      <c r="T79" s="13"/>
      <c r="U79" s="13"/>
      <c r="V79" s="13"/>
      <c r="W79" s="13"/>
      <c r="X79" s="13"/>
      <c r="Y79" s="13"/>
    </row>
    <row r="80">
      <c r="A80" s="14" t="b">
        <v>0</v>
      </c>
      <c r="B80" s="15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2"/>
      <c r="N80" s="12"/>
      <c r="O80" s="12"/>
      <c r="P80" s="12"/>
      <c r="Q80" s="12"/>
      <c r="R80" s="13"/>
      <c r="S80" s="13"/>
      <c r="T80" s="13"/>
      <c r="U80" s="13"/>
      <c r="V80" s="13"/>
      <c r="W80" s="13"/>
      <c r="X80" s="13"/>
      <c r="Y80" s="13"/>
    </row>
    <row r="81">
      <c r="A81" s="14" t="b">
        <v>0</v>
      </c>
      <c r="B81" s="15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2"/>
      <c r="N81" s="12"/>
      <c r="O81" s="12"/>
      <c r="P81" s="12"/>
      <c r="Q81" s="12"/>
      <c r="R81" s="13"/>
      <c r="S81" s="13"/>
      <c r="T81" s="13"/>
      <c r="U81" s="13"/>
      <c r="V81" s="13"/>
      <c r="W81" s="13"/>
      <c r="X81" s="13"/>
      <c r="Y81" s="13"/>
    </row>
    <row r="82">
      <c r="A82" s="14" t="b">
        <v>0</v>
      </c>
      <c r="B82" s="15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2"/>
      <c r="N82" s="12"/>
      <c r="O82" s="12"/>
      <c r="P82" s="12"/>
      <c r="Q82" s="12"/>
      <c r="R82" s="13"/>
      <c r="S82" s="13"/>
      <c r="T82" s="13"/>
      <c r="U82" s="13"/>
      <c r="V82" s="13"/>
      <c r="W82" s="13"/>
      <c r="X82" s="13"/>
      <c r="Y82" s="13"/>
    </row>
    <row r="83">
      <c r="A83" s="14" t="b">
        <v>0</v>
      </c>
      <c r="B83" s="15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2"/>
      <c r="N83" s="12"/>
      <c r="O83" s="12"/>
      <c r="P83" s="12"/>
      <c r="Q83" s="12"/>
      <c r="R83" s="13"/>
      <c r="S83" s="13"/>
      <c r="T83" s="13"/>
      <c r="U83" s="13"/>
      <c r="V83" s="13"/>
      <c r="W83" s="13"/>
      <c r="X83" s="13"/>
      <c r="Y83" s="13"/>
    </row>
    <row r="84">
      <c r="A84" s="14" t="b">
        <v>0</v>
      </c>
      <c r="B84" s="15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2"/>
      <c r="N84" s="12"/>
      <c r="O84" s="12"/>
      <c r="P84" s="12"/>
      <c r="Q84" s="12"/>
      <c r="R84" s="13"/>
      <c r="S84" s="13"/>
      <c r="T84" s="13"/>
      <c r="U84" s="13"/>
      <c r="V84" s="13"/>
      <c r="W84" s="13"/>
      <c r="X84" s="13"/>
      <c r="Y84" s="13"/>
    </row>
    <row r="85">
      <c r="A85" s="14" t="b">
        <v>0</v>
      </c>
      <c r="B85" s="15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2"/>
      <c r="N85" s="12"/>
      <c r="O85" s="12"/>
      <c r="P85" s="12"/>
      <c r="Q85" s="12"/>
      <c r="R85" s="13"/>
      <c r="S85" s="13"/>
      <c r="T85" s="13"/>
      <c r="U85" s="13"/>
      <c r="V85" s="13"/>
      <c r="W85" s="13"/>
      <c r="X85" s="13"/>
      <c r="Y85" s="13"/>
    </row>
    <row r="86">
      <c r="A86" s="14" t="b">
        <v>0</v>
      </c>
      <c r="B86" s="15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2"/>
      <c r="N86" s="12"/>
      <c r="O86" s="12"/>
      <c r="P86" s="12"/>
      <c r="Q86" s="12"/>
      <c r="R86" s="13"/>
      <c r="S86" s="13"/>
      <c r="T86" s="13"/>
      <c r="U86" s="13"/>
      <c r="V86" s="13"/>
      <c r="W86" s="13"/>
      <c r="X86" s="13"/>
      <c r="Y86" s="13"/>
    </row>
    <row r="87">
      <c r="A87" s="14" t="b">
        <v>0</v>
      </c>
      <c r="B87" s="15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2"/>
      <c r="N87" s="12"/>
      <c r="O87" s="12"/>
      <c r="P87" s="12"/>
      <c r="Q87" s="12"/>
      <c r="R87" s="13"/>
      <c r="S87" s="13"/>
      <c r="T87" s="13"/>
      <c r="U87" s="13"/>
      <c r="V87" s="13"/>
      <c r="W87" s="13"/>
      <c r="X87" s="13"/>
      <c r="Y87" s="13"/>
    </row>
    <row r="88">
      <c r="A88" s="14" t="b">
        <v>0</v>
      </c>
      <c r="B88" s="15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2"/>
      <c r="N88" s="12"/>
      <c r="O88" s="12"/>
      <c r="P88" s="12"/>
      <c r="Q88" s="12"/>
      <c r="R88" s="13"/>
      <c r="S88" s="13"/>
      <c r="T88" s="13"/>
      <c r="U88" s="13"/>
      <c r="V88" s="13"/>
      <c r="W88" s="13"/>
      <c r="X88" s="13"/>
      <c r="Y88" s="13"/>
    </row>
    <row r="89">
      <c r="A89" s="14" t="b">
        <v>0</v>
      </c>
      <c r="B89" s="15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2"/>
      <c r="N89" s="12"/>
      <c r="O89" s="12"/>
      <c r="P89" s="12"/>
      <c r="Q89" s="12"/>
      <c r="R89" s="13"/>
      <c r="S89" s="13"/>
      <c r="T89" s="13"/>
      <c r="U89" s="13"/>
      <c r="V89" s="13"/>
      <c r="W89" s="13"/>
      <c r="X89" s="13"/>
      <c r="Y89" s="13"/>
    </row>
    <row r="90">
      <c r="A90" s="14" t="b">
        <v>0</v>
      </c>
      <c r="B90" s="15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2"/>
      <c r="N90" s="12"/>
      <c r="O90" s="12"/>
      <c r="P90" s="12"/>
      <c r="Q90" s="12"/>
      <c r="R90" s="13"/>
      <c r="S90" s="13"/>
      <c r="T90" s="13"/>
      <c r="U90" s="13"/>
      <c r="V90" s="13"/>
      <c r="W90" s="13"/>
      <c r="X90" s="13"/>
      <c r="Y90" s="13"/>
    </row>
    <row r="91">
      <c r="A91" s="14" t="b">
        <v>0</v>
      </c>
      <c r="B91" s="15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2"/>
      <c r="N91" s="12"/>
      <c r="O91" s="12"/>
      <c r="P91" s="12"/>
      <c r="Q91" s="12"/>
      <c r="R91" s="13"/>
      <c r="S91" s="13"/>
      <c r="T91" s="13"/>
      <c r="U91" s="13"/>
      <c r="V91" s="13"/>
      <c r="W91" s="13"/>
      <c r="X91" s="13"/>
      <c r="Y91" s="13"/>
    </row>
    <row r="92">
      <c r="A92" s="14" t="b">
        <v>0</v>
      </c>
      <c r="B92" s="15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2"/>
      <c r="N92" s="12"/>
      <c r="O92" s="12"/>
      <c r="P92" s="12"/>
      <c r="Q92" s="12"/>
      <c r="R92" s="13"/>
      <c r="S92" s="13"/>
      <c r="T92" s="13"/>
      <c r="U92" s="13"/>
      <c r="V92" s="13"/>
      <c r="W92" s="13"/>
      <c r="X92" s="13"/>
      <c r="Y92" s="13"/>
    </row>
    <row r="93">
      <c r="A93" s="14" t="b">
        <v>0</v>
      </c>
      <c r="B93" s="15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2"/>
      <c r="N93" s="12"/>
      <c r="O93" s="12"/>
      <c r="P93" s="12"/>
      <c r="Q93" s="12"/>
      <c r="R93" s="13"/>
      <c r="S93" s="13"/>
      <c r="T93" s="13"/>
      <c r="U93" s="13"/>
      <c r="V93" s="13"/>
      <c r="W93" s="13"/>
      <c r="X93" s="13"/>
      <c r="Y93" s="13"/>
    </row>
    <row r="94">
      <c r="A94" s="14" t="b">
        <v>0</v>
      </c>
      <c r="B94" s="15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2"/>
      <c r="N94" s="12"/>
      <c r="O94" s="12"/>
      <c r="P94" s="12"/>
      <c r="Q94" s="12"/>
      <c r="R94" s="13"/>
      <c r="S94" s="13"/>
      <c r="T94" s="13"/>
      <c r="U94" s="13"/>
      <c r="V94" s="13"/>
      <c r="W94" s="13"/>
      <c r="X94" s="13"/>
      <c r="Y94" s="13"/>
    </row>
    <row r="95">
      <c r="A95" s="14" t="b">
        <v>0</v>
      </c>
      <c r="B95" s="15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2"/>
      <c r="N95" s="12"/>
      <c r="O95" s="12"/>
      <c r="P95" s="12"/>
      <c r="Q95" s="12"/>
      <c r="R95" s="13"/>
      <c r="S95" s="13"/>
      <c r="T95" s="13"/>
      <c r="U95" s="13"/>
      <c r="V95" s="13"/>
      <c r="W95" s="13"/>
      <c r="X95" s="13"/>
      <c r="Y95" s="13"/>
    </row>
    <row r="96">
      <c r="A96" s="14" t="b">
        <v>0</v>
      </c>
      <c r="B96" s="15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2"/>
      <c r="N96" s="12"/>
      <c r="O96" s="12"/>
      <c r="P96" s="12"/>
      <c r="Q96" s="12"/>
      <c r="R96" s="13"/>
      <c r="S96" s="13"/>
      <c r="T96" s="13"/>
      <c r="U96" s="13"/>
      <c r="V96" s="13"/>
      <c r="W96" s="13"/>
      <c r="X96" s="13"/>
      <c r="Y96" s="13"/>
    </row>
    <row r="97">
      <c r="A97" s="14" t="b">
        <v>0</v>
      </c>
      <c r="B97" s="15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2"/>
      <c r="N97" s="12"/>
      <c r="O97" s="12"/>
      <c r="P97" s="12"/>
      <c r="Q97" s="12"/>
      <c r="R97" s="13"/>
      <c r="S97" s="13"/>
      <c r="T97" s="13"/>
      <c r="U97" s="13"/>
      <c r="V97" s="13"/>
      <c r="W97" s="13"/>
      <c r="X97" s="13"/>
      <c r="Y97" s="13"/>
    </row>
    <row r="98">
      <c r="A98" s="14" t="b">
        <v>0</v>
      </c>
      <c r="B98" s="15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2"/>
      <c r="N98" s="12"/>
      <c r="O98" s="12"/>
      <c r="P98" s="12"/>
      <c r="Q98" s="12"/>
      <c r="R98" s="13"/>
      <c r="S98" s="13"/>
      <c r="T98" s="13"/>
      <c r="U98" s="13"/>
      <c r="V98" s="13"/>
      <c r="W98" s="13"/>
      <c r="X98" s="13"/>
      <c r="Y98" s="13"/>
    </row>
    <row r="99">
      <c r="A99" s="14" t="b">
        <v>0</v>
      </c>
      <c r="B99" s="15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2"/>
      <c r="N99" s="12"/>
      <c r="O99" s="12"/>
      <c r="P99" s="12"/>
      <c r="Q99" s="12"/>
      <c r="R99" s="13"/>
      <c r="S99" s="13"/>
      <c r="T99" s="13"/>
      <c r="U99" s="13"/>
      <c r="V99" s="13"/>
      <c r="W99" s="13"/>
      <c r="X99" s="13"/>
      <c r="Y99" s="13"/>
    </row>
    <row r="100">
      <c r="A100" s="14" t="b">
        <v>0</v>
      </c>
      <c r="B100" s="15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2"/>
      <c r="N100" s="12"/>
      <c r="O100" s="12"/>
      <c r="P100" s="12"/>
      <c r="Q100" s="12"/>
      <c r="R100" s="13"/>
      <c r="S100" s="13"/>
      <c r="T100" s="13"/>
      <c r="U100" s="13"/>
      <c r="V100" s="13"/>
      <c r="W100" s="13"/>
      <c r="X100" s="13"/>
      <c r="Y100" s="13"/>
    </row>
    <row r="101">
      <c r="A101" s="14" t="b">
        <v>0</v>
      </c>
      <c r="B101" s="15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2"/>
      <c r="N101" s="12"/>
      <c r="O101" s="12"/>
      <c r="P101" s="12"/>
      <c r="Q101" s="12"/>
      <c r="R101" s="13"/>
      <c r="S101" s="13"/>
      <c r="T101" s="13"/>
      <c r="U101" s="13"/>
      <c r="V101" s="13"/>
      <c r="W101" s="13"/>
      <c r="X101" s="13"/>
      <c r="Y101" s="13"/>
    </row>
    <row r="102">
      <c r="A102" s="14" t="b">
        <v>0</v>
      </c>
      <c r="B102" s="15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2"/>
      <c r="N102" s="12"/>
      <c r="O102" s="12"/>
      <c r="P102" s="12"/>
      <c r="Q102" s="12"/>
      <c r="R102" s="13"/>
      <c r="S102" s="13"/>
      <c r="T102" s="13"/>
      <c r="U102" s="13"/>
      <c r="V102" s="13"/>
      <c r="W102" s="13"/>
      <c r="X102" s="13"/>
      <c r="Y102" s="13"/>
    </row>
    <row r="103">
      <c r="A103" s="14" t="b">
        <v>0</v>
      </c>
      <c r="B103" s="15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2"/>
      <c r="N103" s="12"/>
      <c r="O103" s="12"/>
      <c r="P103" s="12"/>
      <c r="Q103" s="12"/>
      <c r="R103" s="13"/>
      <c r="S103" s="13"/>
      <c r="T103" s="13"/>
      <c r="U103" s="13"/>
      <c r="V103" s="13"/>
      <c r="W103" s="13"/>
      <c r="X103" s="13"/>
      <c r="Y103" s="13"/>
    </row>
    <row r="104">
      <c r="A104" s="14" t="b">
        <v>0</v>
      </c>
      <c r="B104" s="15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2"/>
      <c r="N104" s="12"/>
      <c r="O104" s="12"/>
      <c r="P104" s="12"/>
      <c r="Q104" s="12"/>
      <c r="R104" s="13"/>
      <c r="S104" s="13"/>
      <c r="T104" s="13"/>
      <c r="U104" s="13"/>
      <c r="V104" s="13"/>
      <c r="W104" s="13"/>
      <c r="X104" s="13"/>
      <c r="Y104" s="13"/>
    </row>
    <row r="105">
      <c r="A105" s="14" t="b">
        <v>0</v>
      </c>
      <c r="B105" s="15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2"/>
      <c r="N105" s="12"/>
      <c r="O105" s="12"/>
      <c r="P105" s="12"/>
      <c r="Q105" s="12"/>
      <c r="R105" s="13"/>
      <c r="S105" s="13"/>
      <c r="T105" s="13"/>
      <c r="U105" s="13"/>
      <c r="V105" s="13"/>
      <c r="W105" s="13"/>
      <c r="X105" s="13"/>
      <c r="Y105" s="13"/>
    </row>
    <row r="106">
      <c r="A106" s="14" t="b">
        <v>0</v>
      </c>
      <c r="B106" s="15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2"/>
      <c r="N106" s="12"/>
      <c r="O106" s="12"/>
      <c r="P106" s="12"/>
      <c r="Q106" s="12"/>
      <c r="R106" s="13"/>
      <c r="S106" s="13"/>
      <c r="T106" s="13"/>
      <c r="U106" s="13"/>
      <c r="V106" s="13"/>
      <c r="W106" s="13"/>
      <c r="X106" s="13"/>
      <c r="Y106" s="13"/>
    </row>
    <row r="107">
      <c r="A107" s="14" t="b">
        <v>0</v>
      </c>
      <c r="B107" s="15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2"/>
      <c r="N107" s="12"/>
      <c r="O107" s="12"/>
      <c r="P107" s="12"/>
      <c r="Q107" s="12"/>
      <c r="R107" s="13"/>
      <c r="S107" s="13"/>
      <c r="T107" s="13"/>
      <c r="U107" s="13"/>
      <c r="V107" s="13"/>
      <c r="W107" s="13"/>
      <c r="X107" s="13"/>
      <c r="Y107" s="13"/>
    </row>
    <row r="108">
      <c r="A108" s="14" t="b">
        <v>0</v>
      </c>
      <c r="B108" s="15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2"/>
      <c r="N108" s="12"/>
      <c r="O108" s="12"/>
      <c r="P108" s="12"/>
      <c r="Q108" s="12"/>
      <c r="R108" s="13"/>
      <c r="S108" s="13"/>
      <c r="T108" s="13"/>
      <c r="U108" s="13"/>
      <c r="V108" s="13"/>
      <c r="W108" s="13"/>
      <c r="X108" s="13"/>
      <c r="Y108" s="13"/>
    </row>
    <row r="109">
      <c r="A109" s="14" t="b">
        <v>0</v>
      </c>
      <c r="B109" s="15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2"/>
      <c r="N109" s="12"/>
      <c r="O109" s="12"/>
      <c r="P109" s="12"/>
      <c r="Q109" s="12"/>
      <c r="R109" s="13"/>
      <c r="S109" s="13"/>
      <c r="T109" s="13"/>
      <c r="U109" s="13"/>
      <c r="V109" s="13"/>
      <c r="W109" s="13"/>
      <c r="X109" s="13"/>
      <c r="Y109" s="13"/>
    </row>
    <row r="110">
      <c r="A110" s="14" t="b">
        <v>0</v>
      </c>
      <c r="B110" s="15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2"/>
      <c r="N110" s="12"/>
      <c r="O110" s="12"/>
      <c r="P110" s="12"/>
      <c r="Q110" s="12"/>
      <c r="R110" s="13"/>
      <c r="S110" s="13"/>
      <c r="T110" s="13"/>
      <c r="U110" s="13"/>
      <c r="V110" s="13"/>
      <c r="W110" s="13"/>
      <c r="X110" s="13"/>
      <c r="Y110" s="13"/>
    </row>
    <row r="111">
      <c r="A111" s="14" t="b">
        <v>0</v>
      </c>
      <c r="B111" s="15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2"/>
      <c r="N111" s="12"/>
      <c r="O111" s="12"/>
      <c r="P111" s="12"/>
      <c r="Q111" s="12"/>
      <c r="R111" s="13"/>
      <c r="S111" s="13"/>
      <c r="T111" s="13"/>
      <c r="U111" s="13"/>
      <c r="V111" s="13"/>
      <c r="W111" s="13"/>
      <c r="X111" s="13"/>
      <c r="Y111" s="13"/>
    </row>
    <row r="112">
      <c r="A112" s="14" t="b">
        <v>0</v>
      </c>
      <c r="B112" s="15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2"/>
      <c r="N112" s="12"/>
      <c r="O112" s="12"/>
      <c r="P112" s="12"/>
      <c r="Q112" s="12"/>
      <c r="R112" s="13"/>
      <c r="S112" s="13"/>
      <c r="T112" s="13"/>
      <c r="U112" s="13"/>
      <c r="V112" s="13"/>
      <c r="W112" s="13"/>
      <c r="X112" s="13"/>
      <c r="Y112" s="13"/>
    </row>
    <row r="113">
      <c r="A113" s="14" t="b">
        <v>0</v>
      </c>
      <c r="B113" s="15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2"/>
      <c r="N113" s="12"/>
      <c r="O113" s="12"/>
      <c r="P113" s="12"/>
      <c r="Q113" s="12"/>
      <c r="R113" s="13"/>
      <c r="S113" s="13"/>
      <c r="T113" s="13"/>
      <c r="U113" s="13"/>
      <c r="V113" s="13"/>
      <c r="W113" s="13"/>
      <c r="X113" s="13"/>
      <c r="Y113" s="13"/>
    </row>
    <row r="114">
      <c r="A114" s="14" t="b">
        <v>0</v>
      </c>
      <c r="B114" s="15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2"/>
      <c r="N114" s="12"/>
      <c r="O114" s="12"/>
      <c r="P114" s="12"/>
      <c r="Q114" s="12"/>
      <c r="R114" s="13"/>
      <c r="S114" s="13"/>
      <c r="T114" s="13"/>
      <c r="U114" s="13"/>
      <c r="V114" s="13"/>
      <c r="W114" s="13"/>
      <c r="X114" s="13"/>
      <c r="Y114" s="13"/>
    </row>
    <row r="115">
      <c r="A115" s="14" t="b">
        <v>0</v>
      </c>
      <c r="B115" s="15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2"/>
      <c r="N115" s="12"/>
      <c r="O115" s="12"/>
      <c r="P115" s="12"/>
      <c r="Q115" s="12"/>
      <c r="R115" s="13"/>
      <c r="S115" s="13"/>
      <c r="T115" s="13"/>
      <c r="U115" s="13"/>
      <c r="V115" s="13"/>
      <c r="W115" s="13"/>
      <c r="X115" s="13"/>
      <c r="Y115" s="13"/>
    </row>
    <row r="116">
      <c r="A116" s="14" t="b">
        <v>0</v>
      </c>
      <c r="B116" s="15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2"/>
      <c r="N116" s="12"/>
      <c r="O116" s="12"/>
      <c r="P116" s="12"/>
      <c r="Q116" s="12"/>
      <c r="R116" s="13"/>
      <c r="S116" s="13"/>
      <c r="T116" s="13"/>
      <c r="U116" s="13"/>
      <c r="V116" s="13"/>
      <c r="W116" s="13"/>
      <c r="X116" s="13"/>
      <c r="Y116" s="13"/>
    </row>
    <row r="117">
      <c r="A117" s="14" t="b">
        <v>0</v>
      </c>
      <c r="B117" s="15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2"/>
      <c r="N117" s="12"/>
      <c r="O117" s="12"/>
      <c r="P117" s="12"/>
      <c r="Q117" s="12"/>
      <c r="R117" s="13"/>
      <c r="S117" s="13"/>
      <c r="T117" s="13"/>
      <c r="U117" s="13"/>
      <c r="V117" s="13"/>
      <c r="W117" s="13"/>
      <c r="X117" s="13"/>
      <c r="Y117" s="13"/>
    </row>
    <row r="118">
      <c r="A118" s="14" t="b">
        <v>0</v>
      </c>
      <c r="B118" s="15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2"/>
      <c r="N118" s="12"/>
      <c r="O118" s="12"/>
      <c r="P118" s="12"/>
      <c r="Q118" s="12"/>
      <c r="R118" s="13"/>
      <c r="S118" s="13"/>
      <c r="T118" s="13"/>
      <c r="U118" s="13"/>
      <c r="V118" s="13"/>
      <c r="W118" s="13"/>
      <c r="X118" s="13"/>
      <c r="Y118" s="13"/>
    </row>
    <row r="119">
      <c r="A119" s="14" t="b">
        <v>0</v>
      </c>
      <c r="B119" s="15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2"/>
      <c r="N119" s="12"/>
      <c r="O119" s="12"/>
      <c r="P119" s="12"/>
      <c r="Q119" s="12"/>
      <c r="R119" s="13"/>
      <c r="S119" s="13"/>
      <c r="T119" s="13"/>
      <c r="U119" s="13"/>
      <c r="V119" s="13"/>
      <c r="W119" s="13"/>
      <c r="X119" s="13"/>
      <c r="Y119" s="13"/>
    </row>
    <row r="120">
      <c r="A120" s="14" t="b">
        <v>0</v>
      </c>
      <c r="B120" s="15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2"/>
      <c r="N120" s="12"/>
      <c r="O120" s="12"/>
      <c r="P120" s="12"/>
      <c r="Q120" s="12"/>
      <c r="R120" s="13"/>
      <c r="S120" s="13"/>
      <c r="T120" s="13"/>
      <c r="U120" s="13"/>
      <c r="V120" s="13"/>
      <c r="W120" s="13"/>
      <c r="X120" s="13"/>
      <c r="Y120" s="13"/>
    </row>
    <row r="121">
      <c r="A121" s="14" t="b">
        <v>0</v>
      </c>
      <c r="B121" s="15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2"/>
      <c r="N121" s="12"/>
      <c r="O121" s="12"/>
      <c r="P121" s="12"/>
      <c r="Q121" s="12"/>
      <c r="R121" s="13"/>
      <c r="S121" s="13"/>
      <c r="T121" s="13"/>
      <c r="U121" s="13"/>
      <c r="V121" s="13"/>
      <c r="W121" s="13"/>
      <c r="X121" s="13"/>
      <c r="Y121" s="13"/>
    </row>
    <row r="122">
      <c r="A122" s="14" t="b">
        <v>0</v>
      </c>
      <c r="B122" s="15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2"/>
      <c r="N122" s="12"/>
      <c r="O122" s="12"/>
      <c r="P122" s="12"/>
      <c r="Q122" s="12"/>
      <c r="R122" s="13"/>
      <c r="S122" s="13"/>
      <c r="T122" s="13"/>
      <c r="U122" s="13"/>
      <c r="V122" s="13"/>
      <c r="W122" s="13"/>
      <c r="X122" s="13"/>
      <c r="Y122" s="13"/>
    </row>
    <row r="123">
      <c r="A123" s="14" t="b">
        <v>0</v>
      </c>
      <c r="B123" s="15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2"/>
      <c r="N123" s="12"/>
      <c r="O123" s="12"/>
      <c r="P123" s="12"/>
      <c r="Q123" s="12"/>
      <c r="R123" s="13"/>
      <c r="S123" s="13"/>
      <c r="T123" s="13"/>
      <c r="U123" s="13"/>
      <c r="V123" s="13"/>
      <c r="W123" s="13"/>
      <c r="X123" s="13"/>
      <c r="Y123" s="13"/>
    </row>
    <row r="124">
      <c r="A124" s="14" t="b">
        <v>0</v>
      </c>
      <c r="B124" s="15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2"/>
      <c r="N124" s="12"/>
      <c r="O124" s="12"/>
      <c r="P124" s="12"/>
      <c r="Q124" s="12"/>
      <c r="R124" s="13"/>
      <c r="S124" s="13"/>
      <c r="T124" s="13"/>
      <c r="U124" s="13"/>
      <c r="V124" s="13"/>
      <c r="W124" s="13"/>
      <c r="X124" s="13"/>
      <c r="Y124" s="13"/>
    </row>
    <row r="125">
      <c r="A125" s="14" t="b">
        <v>0</v>
      </c>
      <c r="B125" s="15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2"/>
      <c r="N125" s="12"/>
      <c r="O125" s="12"/>
      <c r="P125" s="12"/>
      <c r="Q125" s="12"/>
      <c r="R125" s="13"/>
      <c r="S125" s="13"/>
      <c r="T125" s="13"/>
      <c r="U125" s="13"/>
      <c r="V125" s="13"/>
      <c r="W125" s="13"/>
      <c r="X125" s="13"/>
      <c r="Y125" s="13"/>
    </row>
    <row r="126">
      <c r="A126" s="14" t="b">
        <v>0</v>
      </c>
      <c r="B126" s="15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2"/>
      <c r="N126" s="12"/>
      <c r="O126" s="12"/>
      <c r="P126" s="12"/>
      <c r="Q126" s="12"/>
      <c r="R126" s="13"/>
      <c r="S126" s="13"/>
      <c r="T126" s="13"/>
      <c r="U126" s="13"/>
      <c r="V126" s="13"/>
      <c r="W126" s="13"/>
      <c r="X126" s="13"/>
      <c r="Y126" s="13"/>
    </row>
    <row r="127">
      <c r="A127" s="14" t="b">
        <v>0</v>
      </c>
      <c r="B127" s="15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2"/>
      <c r="N127" s="12"/>
      <c r="O127" s="12"/>
      <c r="P127" s="12"/>
      <c r="Q127" s="12"/>
      <c r="R127" s="13"/>
      <c r="S127" s="13"/>
      <c r="T127" s="13"/>
      <c r="U127" s="13"/>
      <c r="V127" s="13"/>
      <c r="W127" s="13"/>
      <c r="X127" s="13"/>
      <c r="Y127" s="13"/>
    </row>
    <row r="128">
      <c r="A128" s="14" t="b">
        <v>0</v>
      </c>
      <c r="B128" s="15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2"/>
      <c r="N128" s="12"/>
      <c r="O128" s="12"/>
      <c r="P128" s="12"/>
      <c r="Q128" s="12"/>
      <c r="R128" s="13"/>
      <c r="S128" s="13"/>
      <c r="T128" s="13"/>
      <c r="U128" s="13"/>
      <c r="V128" s="13"/>
      <c r="W128" s="13"/>
      <c r="X128" s="13"/>
      <c r="Y128" s="13"/>
    </row>
    <row r="129">
      <c r="A129" s="14" t="b">
        <v>0</v>
      </c>
      <c r="B129" s="15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2"/>
      <c r="N129" s="12"/>
      <c r="O129" s="12"/>
      <c r="P129" s="12"/>
      <c r="Q129" s="12"/>
      <c r="R129" s="13"/>
      <c r="S129" s="13"/>
      <c r="T129" s="13"/>
      <c r="U129" s="13"/>
      <c r="V129" s="13"/>
      <c r="W129" s="13"/>
      <c r="X129" s="13"/>
      <c r="Y129" s="13"/>
    </row>
    <row r="130">
      <c r="A130" s="14" t="b">
        <v>0</v>
      </c>
      <c r="B130" s="15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2"/>
      <c r="N130" s="12"/>
      <c r="O130" s="12"/>
      <c r="P130" s="12"/>
      <c r="Q130" s="12"/>
      <c r="R130" s="13"/>
      <c r="S130" s="13"/>
      <c r="T130" s="13"/>
      <c r="U130" s="13"/>
      <c r="V130" s="13"/>
      <c r="W130" s="13"/>
      <c r="X130" s="13"/>
      <c r="Y130" s="13"/>
    </row>
    <row r="131">
      <c r="A131" s="14" t="b">
        <v>0</v>
      </c>
      <c r="B131" s="15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2"/>
      <c r="N131" s="12"/>
      <c r="O131" s="12"/>
      <c r="P131" s="12"/>
      <c r="Q131" s="12"/>
      <c r="R131" s="13"/>
      <c r="S131" s="13"/>
      <c r="T131" s="13"/>
      <c r="U131" s="13"/>
      <c r="V131" s="13"/>
      <c r="W131" s="13"/>
      <c r="X131" s="13"/>
      <c r="Y131" s="13"/>
    </row>
    <row r="132">
      <c r="A132" s="14" t="b">
        <v>0</v>
      </c>
      <c r="B132" s="15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2"/>
      <c r="N132" s="12"/>
      <c r="O132" s="12"/>
      <c r="P132" s="12"/>
      <c r="Q132" s="12"/>
      <c r="R132" s="13"/>
      <c r="S132" s="13"/>
      <c r="T132" s="13"/>
      <c r="U132" s="13"/>
      <c r="V132" s="13"/>
      <c r="W132" s="13"/>
      <c r="X132" s="13"/>
      <c r="Y132" s="13"/>
    </row>
    <row r="133">
      <c r="A133" s="14" t="b">
        <v>0</v>
      </c>
      <c r="B133" s="15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2"/>
      <c r="N133" s="12"/>
      <c r="O133" s="12"/>
      <c r="P133" s="12"/>
      <c r="Q133" s="12"/>
      <c r="R133" s="13"/>
      <c r="S133" s="13"/>
      <c r="T133" s="13"/>
      <c r="U133" s="13"/>
      <c r="V133" s="13"/>
      <c r="W133" s="13"/>
      <c r="X133" s="13"/>
      <c r="Y133" s="13"/>
    </row>
    <row r="134">
      <c r="A134" s="14" t="b">
        <v>0</v>
      </c>
      <c r="B134" s="15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2"/>
      <c r="N134" s="12"/>
      <c r="O134" s="12"/>
      <c r="P134" s="12"/>
      <c r="Q134" s="12"/>
      <c r="R134" s="13"/>
      <c r="S134" s="13"/>
      <c r="T134" s="13"/>
      <c r="U134" s="13"/>
      <c r="V134" s="13"/>
      <c r="W134" s="13"/>
      <c r="X134" s="13"/>
      <c r="Y134" s="13"/>
    </row>
    <row r="135">
      <c r="A135" s="14" t="b">
        <v>0</v>
      </c>
      <c r="B135" s="15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2"/>
      <c r="N135" s="12"/>
      <c r="O135" s="12"/>
      <c r="P135" s="12"/>
      <c r="Q135" s="12"/>
      <c r="R135" s="13"/>
      <c r="S135" s="13"/>
      <c r="T135" s="13"/>
      <c r="U135" s="13"/>
      <c r="V135" s="13"/>
      <c r="W135" s="13"/>
      <c r="X135" s="13"/>
      <c r="Y135" s="13"/>
    </row>
    <row r="136">
      <c r="A136" s="14" t="b">
        <v>0</v>
      </c>
      <c r="B136" s="15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2"/>
      <c r="N136" s="12"/>
      <c r="O136" s="12"/>
      <c r="P136" s="12"/>
      <c r="Q136" s="12"/>
      <c r="R136" s="13"/>
      <c r="S136" s="13"/>
      <c r="T136" s="13"/>
      <c r="U136" s="13"/>
      <c r="V136" s="13"/>
      <c r="W136" s="13"/>
      <c r="X136" s="13"/>
      <c r="Y136" s="13"/>
    </row>
    <row r="137">
      <c r="A137" s="14" t="b">
        <v>0</v>
      </c>
      <c r="B137" s="15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2"/>
      <c r="N137" s="12"/>
      <c r="O137" s="12"/>
      <c r="P137" s="12"/>
      <c r="Q137" s="12"/>
      <c r="R137" s="13"/>
      <c r="S137" s="13"/>
      <c r="T137" s="13"/>
      <c r="U137" s="13"/>
      <c r="V137" s="13"/>
      <c r="W137" s="13"/>
      <c r="X137" s="13"/>
      <c r="Y137" s="13"/>
    </row>
    <row r="138">
      <c r="A138" s="14" t="b">
        <v>0</v>
      </c>
      <c r="B138" s="15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2"/>
      <c r="N138" s="12"/>
      <c r="O138" s="12"/>
      <c r="P138" s="12"/>
      <c r="Q138" s="12"/>
      <c r="R138" s="13"/>
      <c r="S138" s="13"/>
      <c r="T138" s="13"/>
      <c r="U138" s="13"/>
      <c r="V138" s="13"/>
      <c r="W138" s="13"/>
      <c r="X138" s="13"/>
      <c r="Y138" s="13"/>
    </row>
    <row r="139">
      <c r="A139" s="14" t="b">
        <v>0</v>
      </c>
      <c r="B139" s="15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2"/>
      <c r="N139" s="12"/>
      <c r="O139" s="12"/>
      <c r="P139" s="12"/>
      <c r="Q139" s="12"/>
      <c r="R139" s="13"/>
      <c r="S139" s="13"/>
      <c r="T139" s="13"/>
      <c r="U139" s="13"/>
      <c r="V139" s="13"/>
      <c r="W139" s="13"/>
      <c r="X139" s="13"/>
      <c r="Y139" s="13"/>
    </row>
    <row r="140">
      <c r="A140" s="14" t="b">
        <v>0</v>
      </c>
      <c r="B140" s="15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2"/>
      <c r="N140" s="12"/>
      <c r="O140" s="12"/>
      <c r="P140" s="12"/>
      <c r="Q140" s="12"/>
      <c r="R140" s="13"/>
      <c r="S140" s="13"/>
      <c r="T140" s="13"/>
      <c r="U140" s="13"/>
      <c r="V140" s="13"/>
      <c r="W140" s="13"/>
      <c r="X140" s="13"/>
      <c r="Y140" s="13"/>
    </row>
    <row r="141">
      <c r="A141" s="14" t="b">
        <v>0</v>
      </c>
      <c r="B141" s="15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2"/>
      <c r="N141" s="12"/>
      <c r="O141" s="12"/>
      <c r="P141" s="12"/>
      <c r="Q141" s="12"/>
      <c r="R141" s="13"/>
      <c r="S141" s="13"/>
      <c r="T141" s="13"/>
      <c r="U141" s="13"/>
      <c r="V141" s="13"/>
      <c r="W141" s="13"/>
      <c r="X141" s="13"/>
      <c r="Y141" s="13"/>
    </row>
    <row r="142">
      <c r="A142" s="14" t="b">
        <v>0</v>
      </c>
      <c r="B142" s="15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2"/>
      <c r="N142" s="12"/>
      <c r="O142" s="12"/>
      <c r="P142" s="12"/>
      <c r="Q142" s="12"/>
      <c r="R142" s="13"/>
      <c r="S142" s="13"/>
      <c r="T142" s="13"/>
      <c r="U142" s="13"/>
      <c r="V142" s="13"/>
      <c r="W142" s="13"/>
      <c r="X142" s="13"/>
      <c r="Y142" s="13"/>
    </row>
    <row r="143">
      <c r="A143" s="14" t="b">
        <v>0</v>
      </c>
      <c r="B143" s="15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2"/>
      <c r="N143" s="12"/>
      <c r="O143" s="12"/>
      <c r="P143" s="12"/>
      <c r="Q143" s="12"/>
      <c r="R143" s="13"/>
      <c r="S143" s="13"/>
      <c r="T143" s="13"/>
      <c r="U143" s="13"/>
      <c r="V143" s="13"/>
      <c r="W143" s="13"/>
      <c r="X143" s="13"/>
      <c r="Y143" s="13"/>
    </row>
    <row r="144">
      <c r="A144" s="14" t="b">
        <v>0</v>
      </c>
      <c r="B144" s="15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2"/>
      <c r="N144" s="12"/>
      <c r="O144" s="12"/>
      <c r="P144" s="12"/>
      <c r="Q144" s="12"/>
      <c r="R144" s="13"/>
      <c r="S144" s="13"/>
      <c r="T144" s="13"/>
      <c r="U144" s="13"/>
      <c r="V144" s="13"/>
      <c r="W144" s="13"/>
      <c r="X144" s="13"/>
      <c r="Y144" s="13"/>
    </row>
    <row r="145">
      <c r="A145" s="14" t="b">
        <v>0</v>
      </c>
      <c r="B145" s="15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2"/>
      <c r="N145" s="12"/>
      <c r="O145" s="12"/>
      <c r="P145" s="12"/>
      <c r="Q145" s="12"/>
      <c r="R145" s="13"/>
      <c r="S145" s="13"/>
      <c r="T145" s="13"/>
      <c r="U145" s="13"/>
      <c r="V145" s="13"/>
      <c r="W145" s="13"/>
      <c r="X145" s="13"/>
      <c r="Y145" s="13"/>
    </row>
    <row r="146">
      <c r="A146" s="14" t="b">
        <v>0</v>
      </c>
      <c r="B146" s="15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2"/>
      <c r="N146" s="12"/>
      <c r="O146" s="12"/>
      <c r="P146" s="12"/>
      <c r="Q146" s="12"/>
      <c r="R146" s="13"/>
      <c r="S146" s="13"/>
      <c r="T146" s="13"/>
      <c r="U146" s="13"/>
      <c r="V146" s="13"/>
      <c r="W146" s="13"/>
      <c r="X146" s="13"/>
      <c r="Y146" s="13"/>
    </row>
    <row r="147">
      <c r="A147" s="14" t="b">
        <v>0</v>
      </c>
      <c r="B147" s="15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2"/>
      <c r="N147" s="12"/>
      <c r="O147" s="12"/>
      <c r="P147" s="12"/>
      <c r="Q147" s="12"/>
      <c r="R147" s="13"/>
      <c r="S147" s="13"/>
      <c r="T147" s="13"/>
      <c r="U147" s="13"/>
      <c r="V147" s="13"/>
      <c r="W147" s="13"/>
      <c r="X147" s="13"/>
      <c r="Y147" s="13"/>
    </row>
    <row r="148">
      <c r="A148" s="14" t="b">
        <v>0</v>
      </c>
      <c r="B148" s="15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2"/>
      <c r="N148" s="12"/>
      <c r="O148" s="12"/>
      <c r="P148" s="12"/>
      <c r="Q148" s="12"/>
      <c r="R148" s="13"/>
      <c r="S148" s="13"/>
      <c r="T148" s="13"/>
      <c r="U148" s="13"/>
      <c r="V148" s="13"/>
      <c r="W148" s="13"/>
      <c r="X148" s="13"/>
      <c r="Y148" s="13"/>
    </row>
    <row r="149">
      <c r="A149" s="14" t="b">
        <v>0</v>
      </c>
      <c r="B149" s="15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2"/>
      <c r="N149" s="12"/>
      <c r="O149" s="12"/>
      <c r="P149" s="12"/>
      <c r="Q149" s="12"/>
      <c r="R149" s="13"/>
      <c r="S149" s="13"/>
      <c r="T149" s="13"/>
      <c r="U149" s="13"/>
      <c r="V149" s="13"/>
      <c r="W149" s="13"/>
      <c r="X149" s="13"/>
      <c r="Y149" s="13"/>
    </row>
    <row r="150">
      <c r="A150" s="14" t="b">
        <v>0</v>
      </c>
      <c r="B150" s="15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2"/>
      <c r="N150" s="12"/>
      <c r="O150" s="12"/>
      <c r="P150" s="12"/>
      <c r="Q150" s="12"/>
      <c r="R150" s="13"/>
      <c r="S150" s="13"/>
      <c r="T150" s="13"/>
      <c r="U150" s="13"/>
      <c r="V150" s="13"/>
      <c r="W150" s="13"/>
      <c r="X150" s="13"/>
      <c r="Y150" s="13"/>
    </row>
    <row r="151">
      <c r="A151" s="14" t="b">
        <v>0</v>
      </c>
      <c r="B151" s="15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2"/>
      <c r="N151" s="12"/>
      <c r="O151" s="12"/>
      <c r="P151" s="12"/>
      <c r="Q151" s="12"/>
      <c r="R151" s="13"/>
      <c r="S151" s="13"/>
      <c r="T151" s="13"/>
      <c r="U151" s="13"/>
      <c r="V151" s="13"/>
      <c r="W151" s="13"/>
      <c r="X151" s="13"/>
      <c r="Y151" s="13"/>
    </row>
    <row r="152">
      <c r="A152" s="14" t="b">
        <v>0</v>
      </c>
      <c r="B152" s="15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2"/>
      <c r="N152" s="12"/>
      <c r="O152" s="12"/>
      <c r="P152" s="12"/>
      <c r="Q152" s="12"/>
      <c r="R152" s="13"/>
      <c r="S152" s="13"/>
      <c r="T152" s="13"/>
      <c r="U152" s="13"/>
      <c r="V152" s="13"/>
      <c r="W152" s="13"/>
      <c r="X152" s="13"/>
      <c r="Y152" s="13"/>
    </row>
    <row r="153">
      <c r="A153" s="14" t="b">
        <v>0</v>
      </c>
      <c r="B153" s="15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2"/>
      <c r="N153" s="12"/>
      <c r="O153" s="12"/>
      <c r="P153" s="12"/>
      <c r="Q153" s="12"/>
      <c r="R153" s="13"/>
      <c r="S153" s="13"/>
      <c r="T153" s="13"/>
      <c r="U153" s="13"/>
      <c r="V153" s="13"/>
      <c r="W153" s="13"/>
      <c r="X153" s="13"/>
      <c r="Y153" s="13"/>
    </row>
    <row r="154">
      <c r="A154" s="14" t="b">
        <v>0</v>
      </c>
      <c r="B154" s="15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2"/>
      <c r="N154" s="12"/>
      <c r="O154" s="12"/>
      <c r="P154" s="12"/>
      <c r="Q154" s="12"/>
      <c r="R154" s="13"/>
      <c r="S154" s="13"/>
      <c r="T154" s="13"/>
      <c r="U154" s="13"/>
      <c r="V154" s="13"/>
      <c r="W154" s="13"/>
      <c r="X154" s="13"/>
      <c r="Y154" s="13"/>
    </row>
    <row r="155">
      <c r="A155" s="14" t="b">
        <v>0</v>
      </c>
      <c r="B155" s="15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2"/>
      <c r="N155" s="12"/>
      <c r="O155" s="12"/>
      <c r="P155" s="12"/>
      <c r="Q155" s="12"/>
      <c r="R155" s="13"/>
      <c r="S155" s="13"/>
      <c r="T155" s="13"/>
      <c r="U155" s="13"/>
      <c r="V155" s="13"/>
      <c r="W155" s="13"/>
      <c r="X155" s="13"/>
      <c r="Y155" s="13"/>
    </row>
    <row r="156">
      <c r="A156" s="14" t="b">
        <v>0</v>
      </c>
      <c r="B156" s="15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2"/>
      <c r="N156" s="12"/>
      <c r="O156" s="12"/>
      <c r="P156" s="12"/>
      <c r="Q156" s="12"/>
      <c r="R156" s="13"/>
      <c r="S156" s="13"/>
      <c r="T156" s="13"/>
      <c r="U156" s="13"/>
      <c r="V156" s="13"/>
      <c r="W156" s="13"/>
      <c r="X156" s="13"/>
      <c r="Y156" s="13"/>
    </row>
    <row r="157">
      <c r="A157" s="14" t="b">
        <v>0</v>
      </c>
      <c r="B157" s="15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2"/>
      <c r="N157" s="12"/>
      <c r="O157" s="12"/>
      <c r="P157" s="12"/>
      <c r="Q157" s="12"/>
      <c r="R157" s="13"/>
      <c r="S157" s="13"/>
      <c r="T157" s="13"/>
      <c r="U157" s="13"/>
      <c r="V157" s="13"/>
      <c r="W157" s="13"/>
      <c r="X157" s="13"/>
      <c r="Y157" s="13"/>
    </row>
    <row r="158">
      <c r="A158" s="14" t="b">
        <v>0</v>
      </c>
      <c r="B158" s="15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2"/>
      <c r="N158" s="12"/>
      <c r="O158" s="12"/>
      <c r="P158" s="12"/>
      <c r="Q158" s="12"/>
      <c r="R158" s="13"/>
      <c r="S158" s="13"/>
      <c r="T158" s="13"/>
      <c r="U158" s="13"/>
      <c r="V158" s="13"/>
      <c r="W158" s="13"/>
      <c r="X158" s="13"/>
      <c r="Y158" s="13"/>
    </row>
    <row r="159">
      <c r="A159" s="14" t="b">
        <v>0</v>
      </c>
      <c r="B159" s="15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2"/>
      <c r="N159" s="12"/>
      <c r="O159" s="12"/>
      <c r="P159" s="12"/>
      <c r="Q159" s="12"/>
      <c r="R159" s="13"/>
      <c r="S159" s="13"/>
      <c r="T159" s="13"/>
      <c r="U159" s="13"/>
      <c r="V159" s="13"/>
      <c r="W159" s="13"/>
      <c r="X159" s="13"/>
      <c r="Y159" s="13"/>
    </row>
    <row r="160">
      <c r="A160" s="14" t="b">
        <v>0</v>
      </c>
      <c r="B160" s="15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2"/>
      <c r="N160" s="12"/>
      <c r="O160" s="12"/>
      <c r="P160" s="12"/>
      <c r="Q160" s="12"/>
      <c r="R160" s="13"/>
      <c r="S160" s="13"/>
      <c r="T160" s="13"/>
      <c r="U160" s="13"/>
      <c r="V160" s="13"/>
      <c r="W160" s="13"/>
      <c r="X160" s="13"/>
      <c r="Y160" s="13"/>
    </row>
    <row r="161">
      <c r="A161" s="14" t="b">
        <v>0</v>
      </c>
      <c r="B161" s="15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2"/>
      <c r="N161" s="12"/>
      <c r="O161" s="12"/>
      <c r="P161" s="12"/>
      <c r="Q161" s="12"/>
      <c r="R161" s="13"/>
      <c r="S161" s="13"/>
      <c r="T161" s="13"/>
      <c r="U161" s="13"/>
      <c r="V161" s="13"/>
      <c r="W161" s="13"/>
      <c r="X161" s="13"/>
      <c r="Y161" s="13"/>
    </row>
    <row r="162">
      <c r="A162" s="14" t="b">
        <v>0</v>
      </c>
      <c r="B162" s="15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2"/>
      <c r="N162" s="12"/>
      <c r="O162" s="12"/>
      <c r="P162" s="12"/>
      <c r="Q162" s="12"/>
      <c r="R162" s="13"/>
      <c r="S162" s="13"/>
      <c r="T162" s="13"/>
      <c r="U162" s="13"/>
      <c r="V162" s="13"/>
      <c r="W162" s="13"/>
      <c r="X162" s="13"/>
      <c r="Y162" s="13"/>
    </row>
    <row r="163">
      <c r="A163" s="14" t="b">
        <v>0</v>
      </c>
      <c r="B163" s="15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2"/>
      <c r="N163" s="12"/>
      <c r="O163" s="12"/>
      <c r="P163" s="12"/>
      <c r="Q163" s="12"/>
      <c r="R163" s="13"/>
      <c r="S163" s="13"/>
      <c r="T163" s="13"/>
      <c r="U163" s="13"/>
      <c r="V163" s="13"/>
      <c r="W163" s="13"/>
      <c r="X163" s="13"/>
      <c r="Y163" s="13"/>
    </row>
    <row r="164">
      <c r="A164" s="14" t="b">
        <v>0</v>
      </c>
      <c r="B164" s="15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2"/>
      <c r="N164" s="12"/>
      <c r="O164" s="12"/>
      <c r="P164" s="12"/>
      <c r="Q164" s="12"/>
      <c r="R164" s="13"/>
      <c r="S164" s="13"/>
      <c r="T164" s="13"/>
      <c r="U164" s="13"/>
      <c r="V164" s="13"/>
      <c r="W164" s="13"/>
      <c r="X164" s="13"/>
      <c r="Y164" s="13"/>
    </row>
    <row r="165">
      <c r="A165" s="14" t="b">
        <v>0</v>
      </c>
      <c r="B165" s="15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2"/>
      <c r="N165" s="12"/>
      <c r="O165" s="12"/>
      <c r="P165" s="12"/>
      <c r="Q165" s="12"/>
      <c r="R165" s="13"/>
      <c r="S165" s="13"/>
      <c r="T165" s="13"/>
      <c r="U165" s="13"/>
      <c r="V165" s="13"/>
      <c r="W165" s="13"/>
      <c r="X165" s="13"/>
      <c r="Y165" s="13"/>
    </row>
    <row r="166">
      <c r="A166" s="14" t="b">
        <v>0</v>
      </c>
      <c r="B166" s="15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2"/>
      <c r="N166" s="12"/>
      <c r="O166" s="12"/>
      <c r="P166" s="12"/>
      <c r="Q166" s="12"/>
      <c r="R166" s="13"/>
      <c r="S166" s="13"/>
      <c r="T166" s="13"/>
      <c r="U166" s="13"/>
      <c r="V166" s="13"/>
      <c r="W166" s="13"/>
      <c r="X166" s="13"/>
      <c r="Y166" s="13"/>
    </row>
    <row r="167">
      <c r="A167" s="14" t="b">
        <v>0</v>
      </c>
      <c r="B167" s="15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2"/>
      <c r="N167" s="12"/>
      <c r="O167" s="12"/>
      <c r="P167" s="12"/>
      <c r="Q167" s="12"/>
      <c r="R167" s="13"/>
      <c r="S167" s="13"/>
      <c r="T167" s="13"/>
      <c r="U167" s="13"/>
      <c r="V167" s="13"/>
      <c r="W167" s="13"/>
      <c r="X167" s="13"/>
      <c r="Y167" s="13"/>
    </row>
    <row r="168">
      <c r="A168" s="14" t="b">
        <v>0</v>
      </c>
      <c r="B168" s="15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2"/>
      <c r="N168" s="12"/>
      <c r="O168" s="12"/>
      <c r="P168" s="12"/>
      <c r="Q168" s="12"/>
      <c r="R168" s="13"/>
      <c r="S168" s="13"/>
      <c r="T168" s="13"/>
      <c r="U168" s="13"/>
      <c r="V168" s="13"/>
      <c r="W168" s="13"/>
      <c r="X168" s="13"/>
      <c r="Y168" s="13"/>
    </row>
    <row r="169">
      <c r="A169" s="14" t="b">
        <v>0</v>
      </c>
      <c r="B169" s="15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2"/>
      <c r="N169" s="12"/>
      <c r="O169" s="12"/>
      <c r="P169" s="12"/>
      <c r="Q169" s="12"/>
      <c r="R169" s="13"/>
      <c r="S169" s="13"/>
      <c r="T169" s="13"/>
      <c r="U169" s="13"/>
      <c r="V169" s="13"/>
      <c r="W169" s="13"/>
      <c r="X169" s="13"/>
      <c r="Y169" s="13"/>
    </row>
    <row r="170">
      <c r="A170" s="14" t="b">
        <v>0</v>
      </c>
      <c r="B170" s="15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2"/>
      <c r="N170" s="12"/>
      <c r="O170" s="12"/>
      <c r="P170" s="12"/>
      <c r="Q170" s="12"/>
      <c r="R170" s="13"/>
      <c r="S170" s="13"/>
      <c r="T170" s="13"/>
      <c r="U170" s="13"/>
      <c r="V170" s="13"/>
      <c r="W170" s="13"/>
      <c r="X170" s="13"/>
      <c r="Y170" s="13"/>
    </row>
    <row r="171">
      <c r="A171" s="14" t="b">
        <v>0</v>
      </c>
      <c r="B171" s="15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2"/>
      <c r="N171" s="12"/>
      <c r="O171" s="12"/>
      <c r="P171" s="12"/>
      <c r="Q171" s="12"/>
      <c r="R171" s="13"/>
      <c r="S171" s="13"/>
      <c r="T171" s="13"/>
      <c r="U171" s="13"/>
      <c r="V171" s="13"/>
      <c r="W171" s="13"/>
      <c r="X171" s="13"/>
      <c r="Y171" s="13"/>
    </row>
    <row r="172">
      <c r="A172" s="14" t="b">
        <v>0</v>
      </c>
      <c r="B172" s="15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2"/>
      <c r="N172" s="12"/>
      <c r="O172" s="12"/>
      <c r="P172" s="12"/>
      <c r="Q172" s="12"/>
      <c r="R172" s="13"/>
      <c r="S172" s="13"/>
      <c r="T172" s="13"/>
      <c r="U172" s="13"/>
      <c r="V172" s="13"/>
      <c r="W172" s="13"/>
      <c r="X172" s="13"/>
      <c r="Y172" s="13"/>
    </row>
    <row r="173">
      <c r="A173" s="14" t="b">
        <v>0</v>
      </c>
      <c r="B173" s="15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2"/>
      <c r="N173" s="12"/>
      <c r="O173" s="12"/>
      <c r="P173" s="12"/>
      <c r="Q173" s="12"/>
      <c r="R173" s="13"/>
      <c r="S173" s="13"/>
      <c r="T173" s="13"/>
      <c r="U173" s="13"/>
      <c r="V173" s="13"/>
      <c r="W173" s="13"/>
      <c r="X173" s="13"/>
      <c r="Y173" s="13"/>
    </row>
    <row r="174">
      <c r="A174" s="14" t="b">
        <v>0</v>
      </c>
      <c r="B174" s="15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2"/>
      <c r="N174" s="12"/>
      <c r="O174" s="12"/>
      <c r="P174" s="12"/>
      <c r="Q174" s="12"/>
      <c r="R174" s="13"/>
      <c r="S174" s="13"/>
      <c r="T174" s="13"/>
      <c r="U174" s="13"/>
      <c r="V174" s="13"/>
      <c r="W174" s="13"/>
      <c r="X174" s="13"/>
      <c r="Y174" s="13"/>
    </row>
    <row r="175">
      <c r="A175" s="14" t="b">
        <v>0</v>
      </c>
      <c r="B175" s="15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2"/>
      <c r="N175" s="12"/>
      <c r="O175" s="12"/>
      <c r="P175" s="12"/>
      <c r="Q175" s="12"/>
      <c r="R175" s="13"/>
      <c r="S175" s="13"/>
      <c r="T175" s="13"/>
      <c r="U175" s="13"/>
      <c r="V175" s="13"/>
      <c r="W175" s="13"/>
      <c r="X175" s="13"/>
      <c r="Y175" s="13"/>
    </row>
    <row r="176">
      <c r="A176" s="14" t="b">
        <v>0</v>
      </c>
      <c r="B176" s="15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2"/>
      <c r="N176" s="12"/>
      <c r="O176" s="12"/>
      <c r="P176" s="12"/>
      <c r="Q176" s="12"/>
      <c r="R176" s="13"/>
      <c r="S176" s="13"/>
      <c r="T176" s="13"/>
      <c r="U176" s="13"/>
      <c r="V176" s="13"/>
      <c r="W176" s="13"/>
      <c r="X176" s="13"/>
      <c r="Y176" s="13"/>
    </row>
    <row r="177">
      <c r="A177" s="14" t="b">
        <v>0</v>
      </c>
      <c r="B177" s="15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2"/>
      <c r="N177" s="12"/>
      <c r="O177" s="12"/>
      <c r="P177" s="12"/>
      <c r="Q177" s="12"/>
      <c r="R177" s="13"/>
      <c r="S177" s="13"/>
      <c r="T177" s="13"/>
      <c r="U177" s="13"/>
      <c r="V177" s="13"/>
      <c r="W177" s="13"/>
      <c r="X177" s="13"/>
      <c r="Y177" s="13"/>
    </row>
    <row r="178">
      <c r="A178" s="14" t="b">
        <v>0</v>
      </c>
      <c r="B178" s="15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2"/>
      <c r="N178" s="12"/>
      <c r="O178" s="12"/>
      <c r="P178" s="12"/>
      <c r="Q178" s="12"/>
      <c r="R178" s="13"/>
      <c r="S178" s="13"/>
      <c r="T178" s="13"/>
      <c r="U178" s="13"/>
      <c r="V178" s="13"/>
      <c r="W178" s="13"/>
      <c r="X178" s="13"/>
      <c r="Y178" s="13"/>
    </row>
    <row r="179">
      <c r="A179" s="14" t="b">
        <v>0</v>
      </c>
      <c r="B179" s="15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2"/>
      <c r="N179" s="12"/>
      <c r="O179" s="12"/>
      <c r="P179" s="12"/>
      <c r="Q179" s="12"/>
      <c r="R179" s="13"/>
      <c r="S179" s="13"/>
      <c r="T179" s="13"/>
      <c r="U179" s="13"/>
      <c r="V179" s="13"/>
      <c r="W179" s="13"/>
      <c r="X179" s="13"/>
      <c r="Y179" s="13"/>
    </row>
    <row r="180">
      <c r="A180" s="14" t="b">
        <v>0</v>
      </c>
      <c r="B180" s="15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2"/>
      <c r="N180" s="12"/>
      <c r="O180" s="12"/>
      <c r="P180" s="12"/>
      <c r="Q180" s="12"/>
      <c r="R180" s="13"/>
      <c r="S180" s="13"/>
      <c r="T180" s="13"/>
      <c r="U180" s="13"/>
      <c r="V180" s="13"/>
      <c r="W180" s="13"/>
      <c r="X180" s="13"/>
      <c r="Y180" s="13"/>
    </row>
    <row r="181">
      <c r="A181" s="14" t="b">
        <v>0</v>
      </c>
      <c r="B181" s="15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2"/>
      <c r="N181" s="12"/>
      <c r="O181" s="12"/>
      <c r="P181" s="12"/>
      <c r="Q181" s="12"/>
      <c r="R181" s="13"/>
      <c r="S181" s="13"/>
      <c r="T181" s="13"/>
      <c r="U181" s="13"/>
      <c r="V181" s="13"/>
      <c r="W181" s="13"/>
      <c r="X181" s="13"/>
      <c r="Y181" s="13"/>
    </row>
    <row r="182">
      <c r="A182" s="14" t="b">
        <v>0</v>
      </c>
      <c r="B182" s="15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2"/>
      <c r="N182" s="12"/>
      <c r="O182" s="12"/>
      <c r="P182" s="12"/>
      <c r="Q182" s="12"/>
      <c r="R182" s="13"/>
      <c r="S182" s="13"/>
      <c r="T182" s="13"/>
      <c r="U182" s="13"/>
      <c r="V182" s="13"/>
      <c r="W182" s="13"/>
      <c r="X182" s="13"/>
      <c r="Y182" s="13"/>
    </row>
    <row r="183">
      <c r="A183" s="14" t="b">
        <v>0</v>
      </c>
      <c r="B183" s="15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2"/>
      <c r="N183" s="12"/>
      <c r="O183" s="12"/>
      <c r="P183" s="12"/>
      <c r="Q183" s="12"/>
      <c r="R183" s="13"/>
      <c r="S183" s="13"/>
      <c r="T183" s="13"/>
      <c r="U183" s="13"/>
      <c r="V183" s="13"/>
      <c r="W183" s="13"/>
      <c r="X183" s="13"/>
      <c r="Y183" s="13"/>
    </row>
    <row r="184">
      <c r="A184" s="14" t="b">
        <v>0</v>
      </c>
      <c r="B184" s="15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2"/>
      <c r="N184" s="12"/>
      <c r="O184" s="12"/>
      <c r="P184" s="12"/>
      <c r="Q184" s="12"/>
      <c r="R184" s="13"/>
      <c r="S184" s="13"/>
      <c r="T184" s="13"/>
      <c r="U184" s="13"/>
      <c r="V184" s="13"/>
      <c r="W184" s="13"/>
      <c r="X184" s="13"/>
      <c r="Y184" s="13"/>
    </row>
    <row r="185">
      <c r="A185" s="14" t="b">
        <v>0</v>
      </c>
      <c r="B185" s="15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2"/>
      <c r="N185" s="12"/>
      <c r="O185" s="12"/>
      <c r="P185" s="12"/>
      <c r="Q185" s="12"/>
      <c r="R185" s="13"/>
      <c r="S185" s="13"/>
      <c r="T185" s="13"/>
      <c r="U185" s="13"/>
      <c r="V185" s="13"/>
      <c r="W185" s="13"/>
      <c r="X185" s="13"/>
      <c r="Y185" s="13"/>
    </row>
    <row r="186">
      <c r="A186" s="14" t="b">
        <v>0</v>
      </c>
      <c r="B186" s="15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2"/>
      <c r="N186" s="12"/>
      <c r="O186" s="12"/>
      <c r="P186" s="12"/>
      <c r="Q186" s="12"/>
      <c r="R186" s="13"/>
      <c r="S186" s="13"/>
      <c r="T186" s="13"/>
      <c r="U186" s="13"/>
      <c r="V186" s="13"/>
      <c r="W186" s="13"/>
      <c r="X186" s="13"/>
      <c r="Y186" s="13"/>
    </row>
    <row r="187">
      <c r="A187" s="14" t="b">
        <v>0</v>
      </c>
      <c r="B187" s="15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2"/>
      <c r="N187" s="12"/>
      <c r="O187" s="12"/>
      <c r="P187" s="12"/>
      <c r="Q187" s="12"/>
      <c r="R187" s="13"/>
      <c r="S187" s="13"/>
      <c r="T187" s="13"/>
      <c r="U187" s="13"/>
      <c r="V187" s="13"/>
      <c r="W187" s="13"/>
      <c r="X187" s="13"/>
      <c r="Y187" s="13"/>
    </row>
    <row r="188">
      <c r="A188" s="14" t="b">
        <v>0</v>
      </c>
      <c r="B188" s="15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2"/>
      <c r="N188" s="12"/>
      <c r="O188" s="12"/>
      <c r="P188" s="12"/>
      <c r="Q188" s="12"/>
      <c r="R188" s="13"/>
      <c r="S188" s="13"/>
      <c r="T188" s="13"/>
      <c r="U188" s="13"/>
      <c r="V188" s="13"/>
      <c r="W188" s="13"/>
      <c r="X188" s="13"/>
      <c r="Y188" s="13"/>
    </row>
    <row r="189">
      <c r="A189" s="14" t="b">
        <v>0</v>
      </c>
      <c r="B189" s="15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2"/>
      <c r="N189" s="12"/>
      <c r="O189" s="12"/>
      <c r="P189" s="12"/>
      <c r="Q189" s="12"/>
      <c r="R189" s="13"/>
      <c r="S189" s="13"/>
      <c r="T189" s="13"/>
      <c r="U189" s="13"/>
      <c r="V189" s="13"/>
      <c r="W189" s="13"/>
      <c r="X189" s="13"/>
      <c r="Y189" s="13"/>
    </row>
    <row r="190">
      <c r="A190" s="14" t="b">
        <v>0</v>
      </c>
      <c r="B190" s="15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2"/>
      <c r="N190" s="12"/>
      <c r="O190" s="12"/>
      <c r="P190" s="12"/>
      <c r="Q190" s="12"/>
      <c r="R190" s="13"/>
      <c r="S190" s="13"/>
      <c r="T190" s="13"/>
      <c r="U190" s="13"/>
      <c r="V190" s="13"/>
      <c r="W190" s="13"/>
      <c r="X190" s="13"/>
      <c r="Y190" s="13"/>
    </row>
    <row r="191">
      <c r="A191" s="14" t="b">
        <v>0</v>
      </c>
      <c r="B191" s="15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2"/>
      <c r="N191" s="12"/>
      <c r="O191" s="12"/>
      <c r="P191" s="12"/>
      <c r="Q191" s="12"/>
      <c r="R191" s="13"/>
      <c r="S191" s="13"/>
      <c r="T191" s="13"/>
      <c r="U191" s="13"/>
      <c r="V191" s="13"/>
      <c r="W191" s="13"/>
      <c r="X191" s="13"/>
      <c r="Y191" s="13"/>
    </row>
    <row r="192">
      <c r="A192" s="14" t="b">
        <v>0</v>
      </c>
      <c r="B192" s="15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2"/>
      <c r="N192" s="12"/>
      <c r="O192" s="12"/>
      <c r="P192" s="12"/>
      <c r="Q192" s="12"/>
      <c r="R192" s="13"/>
      <c r="S192" s="13"/>
      <c r="T192" s="13"/>
      <c r="U192" s="13"/>
      <c r="V192" s="13"/>
      <c r="W192" s="13"/>
      <c r="X192" s="13"/>
      <c r="Y192" s="13"/>
    </row>
    <row r="193">
      <c r="A193" s="14" t="b">
        <v>0</v>
      </c>
      <c r="B193" s="15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2"/>
      <c r="N193" s="12"/>
      <c r="O193" s="12"/>
      <c r="P193" s="12"/>
      <c r="Q193" s="12"/>
      <c r="R193" s="13"/>
      <c r="S193" s="13"/>
      <c r="T193" s="13"/>
      <c r="U193" s="13"/>
      <c r="V193" s="13"/>
      <c r="W193" s="13"/>
      <c r="X193" s="13"/>
      <c r="Y193" s="13"/>
    </row>
    <row r="194">
      <c r="A194" s="14" t="b">
        <v>0</v>
      </c>
      <c r="B194" s="15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2"/>
      <c r="N194" s="12"/>
      <c r="O194" s="12"/>
      <c r="P194" s="12"/>
      <c r="Q194" s="12"/>
      <c r="R194" s="13"/>
      <c r="S194" s="13"/>
      <c r="T194" s="13"/>
      <c r="U194" s="13"/>
      <c r="V194" s="13"/>
      <c r="W194" s="13"/>
      <c r="X194" s="13"/>
      <c r="Y194" s="13"/>
    </row>
    <row r="195">
      <c r="A195" s="14" t="b">
        <v>0</v>
      </c>
      <c r="B195" s="15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2"/>
      <c r="N195" s="12"/>
      <c r="O195" s="12"/>
      <c r="P195" s="12"/>
      <c r="Q195" s="12"/>
      <c r="R195" s="13"/>
      <c r="S195" s="13"/>
      <c r="T195" s="13"/>
      <c r="U195" s="13"/>
      <c r="V195" s="13"/>
      <c r="W195" s="13"/>
      <c r="X195" s="13"/>
      <c r="Y195" s="13"/>
    </row>
    <row r="196">
      <c r="A196" s="14" t="b">
        <v>0</v>
      </c>
      <c r="B196" s="15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2"/>
      <c r="N196" s="12"/>
      <c r="O196" s="12"/>
      <c r="P196" s="12"/>
      <c r="Q196" s="12"/>
      <c r="R196" s="13"/>
      <c r="S196" s="13"/>
      <c r="T196" s="13"/>
      <c r="U196" s="13"/>
      <c r="V196" s="13"/>
      <c r="W196" s="13"/>
      <c r="X196" s="13"/>
      <c r="Y196" s="13"/>
    </row>
    <row r="197">
      <c r="A197" s="14" t="b">
        <v>0</v>
      </c>
      <c r="B197" s="15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2"/>
      <c r="N197" s="12"/>
      <c r="O197" s="12"/>
      <c r="P197" s="12"/>
      <c r="Q197" s="12"/>
      <c r="R197" s="13"/>
      <c r="S197" s="13"/>
      <c r="T197" s="13"/>
      <c r="U197" s="13"/>
      <c r="V197" s="13"/>
      <c r="W197" s="13"/>
      <c r="X197" s="13"/>
      <c r="Y197" s="13"/>
    </row>
    <row r="198">
      <c r="A198" s="14" t="b">
        <v>0</v>
      </c>
      <c r="B198" s="15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2"/>
      <c r="N198" s="12"/>
      <c r="O198" s="12"/>
      <c r="P198" s="12"/>
      <c r="Q198" s="12"/>
      <c r="R198" s="13"/>
      <c r="S198" s="13"/>
      <c r="T198" s="13"/>
      <c r="U198" s="13"/>
      <c r="V198" s="13"/>
      <c r="W198" s="13"/>
      <c r="X198" s="13"/>
      <c r="Y198" s="13"/>
    </row>
    <row r="199">
      <c r="A199" s="14" t="b">
        <v>0</v>
      </c>
      <c r="B199" s="15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2"/>
      <c r="N199" s="12"/>
      <c r="O199" s="12"/>
      <c r="P199" s="12"/>
      <c r="Q199" s="12"/>
      <c r="R199" s="13"/>
      <c r="S199" s="13"/>
      <c r="T199" s="13"/>
      <c r="U199" s="13"/>
      <c r="V199" s="13"/>
      <c r="W199" s="13"/>
      <c r="X199" s="13"/>
      <c r="Y199" s="13"/>
    </row>
    <row r="200">
      <c r="A200" s="14" t="b">
        <v>0</v>
      </c>
      <c r="B200" s="15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2"/>
      <c r="N200" s="12"/>
      <c r="O200" s="12"/>
      <c r="P200" s="12"/>
      <c r="Q200" s="12"/>
      <c r="R200" s="13"/>
      <c r="S200" s="13"/>
      <c r="T200" s="13"/>
      <c r="U200" s="13"/>
      <c r="V200" s="13"/>
      <c r="W200" s="13"/>
      <c r="X200" s="13"/>
      <c r="Y200" s="13"/>
    </row>
    <row r="201">
      <c r="A201" s="14" t="b">
        <v>0</v>
      </c>
      <c r="B201" s="15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2"/>
      <c r="N201" s="12"/>
      <c r="O201" s="12"/>
      <c r="P201" s="12"/>
      <c r="Q201" s="12"/>
      <c r="R201" s="13"/>
      <c r="S201" s="13"/>
      <c r="T201" s="13"/>
      <c r="U201" s="13"/>
      <c r="V201" s="13"/>
      <c r="W201" s="13"/>
      <c r="X201" s="13"/>
      <c r="Y201" s="13"/>
    </row>
    <row r="202">
      <c r="A202" s="14" t="b">
        <v>0</v>
      </c>
      <c r="B202" s="15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2"/>
      <c r="N202" s="12"/>
      <c r="O202" s="12"/>
      <c r="P202" s="12"/>
      <c r="Q202" s="12"/>
      <c r="R202" s="13"/>
      <c r="S202" s="13"/>
      <c r="T202" s="13"/>
      <c r="U202" s="13"/>
      <c r="V202" s="13"/>
      <c r="W202" s="13"/>
      <c r="X202" s="13"/>
      <c r="Y202" s="13"/>
    </row>
    <row r="203">
      <c r="A203" s="14" t="b">
        <v>0</v>
      </c>
      <c r="B203" s="15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2"/>
      <c r="N203" s="12"/>
      <c r="O203" s="12"/>
      <c r="P203" s="12"/>
      <c r="Q203" s="12"/>
      <c r="R203" s="13"/>
      <c r="S203" s="13"/>
      <c r="T203" s="13"/>
      <c r="U203" s="13"/>
      <c r="V203" s="13"/>
      <c r="W203" s="13"/>
      <c r="X203" s="13"/>
      <c r="Y203" s="13"/>
    </row>
    <row r="204">
      <c r="A204" s="14" t="b">
        <v>0</v>
      </c>
      <c r="B204" s="15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2"/>
      <c r="N204" s="12"/>
      <c r="O204" s="12"/>
      <c r="P204" s="12"/>
      <c r="Q204" s="12"/>
      <c r="R204" s="13"/>
      <c r="S204" s="13"/>
      <c r="T204" s="13"/>
      <c r="U204" s="13"/>
      <c r="V204" s="13"/>
      <c r="W204" s="13"/>
      <c r="X204" s="13"/>
      <c r="Y204" s="13"/>
    </row>
    <row r="205">
      <c r="A205" s="14" t="b">
        <v>0</v>
      </c>
      <c r="B205" s="15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2"/>
      <c r="N205" s="12"/>
      <c r="O205" s="12"/>
      <c r="P205" s="12"/>
      <c r="Q205" s="12"/>
      <c r="R205" s="13"/>
      <c r="S205" s="13"/>
      <c r="T205" s="13"/>
      <c r="U205" s="13"/>
      <c r="V205" s="13"/>
      <c r="W205" s="13"/>
      <c r="X205" s="13"/>
      <c r="Y205" s="13"/>
    </row>
    <row r="206">
      <c r="A206" s="14" t="b">
        <v>0</v>
      </c>
      <c r="B206" s="15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2"/>
      <c r="N206" s="12"/>
      <c r="O206" s="12"/>
      <c r="P206" s="12"/>
      <c r="Q206" s="12"/>
      <c r="R206" s="13"/>
      <c r="S206" s="13"/>
      <c r="T206" s="13"/>
      <c r="U206" s="13"/>
      <c r="V206" s="13"/>
      <c r="W206" s="13"/>
      <c r="X206" s="13"/>
      <c r="Y206" s="13"/>
    </row>
    <row r="207">
      <c r="A207" s="14" t="b">
        <v>0</v>
      </c>
      <c r="B207" s="15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2"/>
      <c r="N207" s="12"/>
      <c r="O207" s="12"/>
      <c r="P207" s="12"/>
      <c r="Q207" s="12"/>
      <c r="R207" s="13"/>
      <c r="S207" s="13"/>
      <c r="T207" s="13"/>
      <c r="U207" s="13"/>
      <c r="V207" s="13"/>
      <c r="W207" s="13"/>
      <c r="X207" s="13"/>
      <c r="Y207" s="13"/>
    </row>
    <row r="208">
      <c r="A208" s="14" t="b">
        <v>0</v>
      </c>
      <c r="B208" s="15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2"/>
      <c r="N208" s="12"/>
      <c r="O208" s="12"/>
      <c r="P208" s="12"/>
      <c r="Q208" s="12"/>
      <c r="R208" s="13"/>
      <c r="S208" s="13"/>
      <c r="T208" s="13"/>
      <c r="U208" s="13"/>
      <c r="V208" s="13"/>
      <c r="W208" s="13"/>
      <c r="X208" s="13"/>
      <c r="Y208" s="13"/>
    </row>
    <row r="209">
      <c r="A209" s="14" t="b">
        <v>0</v>
      </c>
      <c r="B209" s="15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2"/>
      <c r="N209" s="12"/>
      <c r="O209" s="12"/>
      <c r="P209" s="12"/>
      <c r="Q209" s="12"/>
      <c r="R209" s="13"/>
      <c r="S209" s="13"/>
      <c r="T209" s="13"/>
      <c r="U209" s="13"/>
      <c r="V209" s="13"/>
      <c r="W209" s="13"/>
      <c r="X209" s="13"/>
      <c r="Y209" s="13"/>
    </row>
    <row r="210">
      <c r="A210" s="14" t="b">
        <v>0</v>
      </c>
      <c r="B210" s="15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2"/>
      <c r="N210" s="12"/>
      <c r="O210" s="12"/>
      <c r="P210" s="12"/>
      <c r="Q210" s="12"/>
      <c r="R210" s="13"/>
      <c r="S210" s="13"/>
      <c r="T210" s="13"/>
      <c r="U210" s="13"/>
      <c r="V210" s="13"/>
      <c r="W210" s="13"/>
      <c r="X210" s="13"/>
      <c r="Y210" s="13"/>
    </row>
    <row r="211">
      <c r="A211" s="14" t="b">
        <v>0</v>
      </c>
      <c r="B211" s="15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2"/>
      <c r="N211" s="12"/>
      <c r="O211" s="12"/>
      <c r="P211" s="12"/>
      <c r="Q211" s="12"/>
      <c r="R211" s="13"/>
      <c r="S211" s="13"/>
      <c r="T211" s="13"/>
      <c r="U211" s="13"/>
      <c r="V211" s="13"/>
      <c r="W211" s="13"/>
      <c r="X211" s="13"/>
      <c r="Y211" s="13"/>
    </row>
    <row r="212">
      <c r="A212" s="14" t="b">
        <v>0</v>
      </c>
      <c r="B212" s="15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2"/>
      <c r="N212" s="12"/>
      <c r="O212" s="12"/>
      <c r="P212" s="12"/>
      <c r="Q212" s="12"/>
      <c r="R212" s="13"/>
      <c r="S212" s="13"/>
      <c r="T212" s="13"/>
      <c r="U212" s="13"/>
      <c r="V212" s="13"/>
      <c r="W212" s="13"/>
      <c r="X212" s="13"/>
      <c r="Y212" s="13"/>
    </row>
    <row r="213">
      <c r="A213" s="14" t="b">
        <v>0</v>
      </c>
      <c r="B213" s="15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2"/>
      <c r="N213" s="12"/>
      <c r="O213" s="12"/>
      <c r="P213" s="12"/>
      <c r="Q213" s="12"/>
      <c r="R213" s="13"/>
      <c r="S213" s="13"/>
      <c r="T213" s="13"/>
      <c r="U213" s="13"/>
      <c r="V213" s="13"/>
      <c r="W213" s="13"/>
      <c r="X213" s="13"/>
      <c r="Y213" s="13"/>
    </row>
    <row r="214">
      <c r="A214" s="14" t="b">
        <v>0</v>
      </c>
      <c r="B214" s="15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2"/>
      <c r="N214" s="12"/>
      <c r="O214" s="12"/>
      <c r="P214" s="12"/>
      <c r="Q214" s="12"/>
      <c r="R214" s="13"/>
      <c r="S214" s="13"/>
      <c r="T214" s="13"/>
      <c r="U214" s="13"/>
      <c r="V214" s="13"/>
      <c r="W214" s="13"/>
      <c r="X214" s="13"/>
      <c r="Y214" s="13"/>
    </row>
    <row r="215">
      <c r="A215" s="14" t="b">
        <v>0</v>
      </c>
      <c r="B215" s="15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2"/>
      <c r="N215" s="12"/>
      <c r="O215" s="12"/>
      <c r="P215" s="12"/>
      <c r="Q215" s="12"/>
      <c r="R215" s="13"/>
      <c r="S215" s="13"/>
      <c r="T215" s="13"/>
      <c r="U215" s="13"/>
      <c r="V215" s="13"/>
      <c r="W215" s="13"/>
      <c r="X215" s="13"/>
      <c r="Y215" s="13"/>
    </row>
    <row r="216">
      <c r="A216" s="14" t="b">
        <v>0</v>
      </c>
      <c r="B216" s="15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2"/>
      <c r="N216" s="12"/>
      <c r="O216" s="12"/>
      <c r="P216" s="12"/>
      <c r="Q216" s="12"/>
      <c r="R216" s="13"/>
      <c r="S216" s="13"/>
      <c r="T216" s="13"/>
      <c r="U216" s="13"/>
      <c r="V216" s="13"/>
      <c r="W216" s="13"/>
      <c r="X216" s="13"/>
      <c r="Y216" s="13"/>
    </row>
    <row r="217">
      <c r="A217" s="14" t="b">
        <v>0</v>
      </c>
      <c r="B217" s="15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2"/>
      <c r="N217" s="12"/>
      <c r="O217" s="12"/>
      <c r="P217" s="12"/>
      <c r="Q217" s="12"/>
      <c r="R217" s="13"/>
      <c r="S217" s="13"/>
      <c r="T217" s="13"/>
      <c r="U217" s="13"/>
      <c r="V217" s="13"/>
      <c r="W217" s="13"/>
      <c r="X217" s="13"/>
      <c r="Y217" s="13"/>
    </row>
    <row r="218">
      <c r="A218" s="14" t="b">
        <v>0</v>
      </c>
      <c r="B218" s="15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2"/>
      <c r="N218" s="12"/>
      <c r="O218" s="12"/>
      <c r="P218" s="12"/>
      <c r="Q218" s="12"/>
      <c r="R218" s="13"/>
      <c r="S218" s="13"/>
      <c r="T218" s="13"/>
      <c r="U218" s="13"/>
      <c r="V218" s="13"/>
      <c r="W218" s="13"/>
      <c r="X218" s="13"/>
      <c r="Y218" s="13"/>
    </row>
    <row r="219">
      <c r="A219" s="14" t="b">
        <v>0</v>
      </c>
      <c r="B219" s="15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2"/>
      <c r="N219" s="12"/>
      <c r="O219" s="12"/>
      <c r="P219" s="12"/>
      <c r="Q219" s="12"/>
      <c r="R219" s="13"/>
      <c r="S219" s="13"/>
      <c r="T219" s="13"/>
      <c r="U219" s="13"/>
      <c r="V219" s="13"/>
      <c r="W219" s="13"/>
      <c r="X219" s="13"/>
      <c r="Y219" s="13"/>
    </row>
    <row r="220">
      <c r="A220" s="14" t="b">
        <v>0</v>
      </c>
      <c r="B220" s="15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2"/>
      <c r="N220" s="12"/>
      <c r="O220" s="12"/>
      <c r="P220" s="12"/>
      <c r="Q220" s="12"/>
      <c r="R220" s="13"/>
      <c r="S220" s="13"/>
      <c r="T220" s="13"/>
      <c r="U220" s="13"/>
      <c r="V220" s="13"/>
      <c r="W220" s="13"/>
      <c r="X220" s="13"/>
      <c r="Y220" s="13"/>
    </row>
    <row r="221">
      <c r="A221" s="14" t="b">
        <v>0</v>
      </c>
      <c r="B221" s="15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2"/>
      <c r="N221" s="12"/>
      <c r="O221" s="12"/>
      <c r="P221" s="12"/>
      <c r="Q221" s="12"/>
      <c r="R221" s="13"/>
      <c r="S221" s="13"/>
      <c r="T221" s="13"/>
      <c r="U221" s="13"/>
      <c r="V221" s="13"/>
      <c r="W221" s="13"/>
      <c r="X221" s="13"/>
      <c r="Y221" s="13"/>
    </row>
    <row r="222">
      <c r="A222" s="14" t="b">
        <v>0</v>
      </c>
      <c r="B222" s="15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2"/>
      <c r="N222" s="12"/>
      <c r="O222" s="12"/>
      <c r="P222" s="12"/>
      <c r="Q222" s="12"/>
      <c r="R222" s="13"/>
      <c r="S222" s="13"/>
      <c r="T222" s="13"/>
      <c r="U222" s="13"/>
      <c r="V222" s="13"/>
      <c r="W222" s="13"/>
      <c r="X222" s="13"/>
      <c r="Y222" s="13"/>
    </row>
    <row r="223">
      <c r="A223" s="14" t="b">
        <v>0</v>
      </c>
      <c r="B223" s="15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2"/>
      <c r="N223" s="12"/>
      <c r="O223" s="12"/>
      <c r="P223" s="12"/>
      <c r="Q223" s="12"/>
      <c r="R223" s="13"/>
      <c r="S223" s="13"/>
      <c r="T223" s="13"/>
      <c r="U223" s="13"/>
      <c r="V223" s="13"/>
      <c r="W223" s="13"/>
      <c r="X223" s="13"/>
      <c r="Y223" s="13"/>
    </row>
    <row r="224">
      <c r="A224" s="14" t="b">
        <v>0</v>
      </c>
      <c r="B224" s="15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2"/>
      <c r="N224" s="12"/>
      <c r="O224" s="12"/>
      <c r="P224" s="12"/>
      <c r="Q224" s="12"/>
      <c r="R224" s="13"/>
      <c r="S224" s="13"/>
      <c r="T224" s="13"/>
      <c r="U224" s="13"/>
      <c r="V224" s="13"/>
      <c r="W224" s="13"/>
      <c r="X224" s="13"/>
      <c r="Y224" s="13"/>
    </row>
    <row r="225">
      <c r="A225" s="14" t="b">
        <v>0</v>
      </c>
      <c r="B225" s="15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2"/>
      <c r="N225" s="12"/>
      <c r="O225" s="12"/>
      <c r="P225" s="12"/>
      <c r="Q225" s="12"/>
      <c r="R225" s="13"/>
      <c r="S225" s="13"/>
      <c r="T225" s="13"/>
      <c r="U225" s="13"/>
      <c r="V225" s="13"/>
      <c r="W225" s="13"/>
      <c r="X225" s="13"/>
      <c r="Y225" s="13"/>
    </row>
    <row r="226">
      <c r="A226" s="14" t="b">
        <v>0</v>
      </c>
      <c r="B226" s="15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2"/>
      <c r="N226" s="12"/>
      <c r="O226" s="12"/>
      <c r="P226" s="12"/>
      <c r="Q226" s="12"/>
      <c r="R226" s="13"/>
      <c r="S226" s="13"/>
      <c r="T226" s="13"/>
      <c r="U226" s="13"/>
      <c r="V226" s="13"/>
      <c r="W226" s="13"/>
      <c r="X226" s="13"/>
      <c r="Y226" s="13"/>
    </row>
    <row r="227">
      <c r="A227" s="14" t="b">
        <v>0</v>
      </c>
      <c r="B227" s="15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2"/>
      <c r="N227" s="12"/>
      <c r="O227" s="12"/>
      <c r="P227" s="12"/>
      <c r="Q227" s="12"/>
      <c r="R227" s="13"/>
      <c r="S227" s="13"/>
      <c r="T227" s="13"/>
      <c r="U227" s="13"/>
      <c r="V227" s="13"/>
      <c r="W227" s="13"/>
      <c r="X227" s="13"/>
      <c r="Y227" s="13"/>
    </row>
    <row r="228">
      <c r="A228" s="14" t="b">
        <v>0</v>
      </c>
      <c r="B228" s="15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2"/>
      <c r="N228" s="12"/>
      <c r="O228" s="12"/>
      <c r="P228" s="12"/>
      <c r="Q228" s="12"/>
      <c r="R228" s="13"/>
      <c r="S228" s="13"/>
      <c r="T228" s="13"/>
      <c r="U228" s="13"/>
      <c r="V228" s="13"/>
      <c r="W228" s="13"/>
      <c r="X228" s="13"/>
      <c r="Y228" s="13"/>
    </row>
    <row r="229">
      <c r="A229" s="14" t="b">
        <v>0</v>
      </c>
      <c r="B229" s="15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2"/>
      <c r="N229" s="12"/>
      <c r="O229" s="12"/>
      <c r="P229" s="12"/>
      <c r="Q229" s="12"/>
      <c r="R229" s="13"/>
      <c r="S229" s="13"/>
      <c r="T229" s="13"/>
      <c r="U229" s="13"/>
      <c r="V229" s="13"/>
      <c r="W229" s="13"/>
      <c r="X229" s="13"/>
      <c r="Y229" s="13"/>
    </row>
    <row r="230">
      <c r="A230" s="14" t="b">
        <v>0</v>
      </c>
      <c r="B230" s="15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2"/>
      <c r="N230" s="12"/>
      <c r="O230" s="12"/>
      <c r="P230" s="12"/>
      <c r="Q230" s="12"/>
      <c r="R230" s="13"/>
      <c r="S230" s="13"/>
      <c r="T230" s="13"/>
      <c r="U230" s="13"/>
      <c r="V230" s="13"/>
      <c r="W230" s="13"/>
      <c r="X230" s="13"/>
      <c r="Y230" s="13"/>
    </row>
    <row r="231">
      <c r="A231" s="14" t="b">
        <v>0</v>
      </c>
      <c r="B231" s="15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2"/>
      <c r="N231" s="12"/>
      <c r="O231" s="12"/>
      <c r="P231" s="12"/>
      <c r="Q231" s="12"/>
      <c r="R231" s="13"/>
      <c r="S231" s="13"/>
      <c r="T231" s="13"/>
      <c r="U231" s="13"/>
      <c r="V231" s="13"/>
      <c r="W231" s="13"/>
      <c r="X231" s="13"/>
      <c r="Y231" s="13"/>
    </row>
    <row r="232">
      <c r="A232" s="14" t="b">
        <v>0</v>
      </c>
      <c r="B232" s="15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2"/>
      <c r="N232" s="12"/>
      <c r="O232" s="12"/>
      <c r="P232" s="12"/>
      <c r="Q232" s="12"/>
      <c r="R232" s="13"/>
      <c r="S232" s="13"/>
      <c r="T232" s="13"/>
      <c r="U232" s="13"/>
      <c r="V232" s="13"/>
      <c r="W232" s="13"/>
      <c r="X232" s="13"/>
      <c r="Y232" s="13"/>
    </row>
    <row r="233">
      <c r="A233" s="14" t="b">
        <v>0</v>
      </c>
      <c r="B233" s="15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2"/>
      <c r="N233" s="12"/>
      <c r="O233" s="12"/>
      <c r="P233" s="12"/>
      <c r="Q233" s="12"/>
      <c r="R233" s="13"/>
      <c r="S233" s="13"/>
      <c r="T233" s="13"/>
      <c r="U233" s="13"/>
      <c r="V233" s="13"/>
      <c r="W233" s="13"/>
      <c r="X233" s="13"/>
      <c r="Y233" s="13"/>
    </row>
    <row r="234">
      <c r="A234" s="14" t="b">
        <v>0</v>
      </c>
      <c r="B234" s="15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2"/>
      <c r="N234" s="12"/>
      <c r="O234" s="12"/>
      <c r="P234" s="12"/>
      <c r="Q234" s="12"/>
      <c r="R234" s="13"/>
      <c r="S234" s="13"/>
      <c r="T234" s="13"/>
      <c r="U234" s="13"/>
      <c r="V234" s="13"/>
      <c r="W234" s="13"/>
      <c r="X234" s="13"/>
      <c r="Y234" s="13"/>
    </row>
    <row r="235">
      <c r="A235" s="14" t="b">
        <v>0</v>
      </c>
      <c r="B235" s="15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2"/>
      <c r="N235" s="12"/>
      <c r="O235" s="12"/>
      <c r="P235" s="12"/>
      <c r="Q235" s="12"/>
      <c r="R235" s="13"/>
      <c r="S235" s="13"/>
      <c r="T235" s="13"/>
      <c r="U235" s="13"/>
      <c r="V235" s="13"/>
      <c r="W235" s="13"/>
      <c r="X235" s="13"/>
      <c r="Y235" s="13"/>
    </row>
    <row r="236">
      <c r="A236" s="14" t="b">
        <v>0</v>
      </c>
      <c r="B236" s="15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2"/>
      <c r="N236" s="12"/>
      <c r="O236" s="12"/>
      <c r="P236" s="12"/>
      <c r="Q236" s="12"/>
      <c r="R236" s="13"/>
      <c r="S236" s="13"/>
      <c r="T236" s="13"/>
      <c r="U236" s="13"/>
      <c r="V236" s="13"/>
      <c r="W236" s="13"/>
      <c r="X236" s="13"/>
      <c r="Y236" s="13"/>
    </row>
    <row r="237">
      <c r="A237" s="14" t="b">
        <v>0</v>
      </c>
      <c r="B237" s="15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2"/>
      <c r="N237" s="12"/>
      <c r="O237" s="12"/>
      <c r="P237" s="12"/>
      <c r="Q237" s="12"/>
      <c r="R237" s="13"/>
      <c r="S237" s="13"/>
      <c r="T237" s="13"/>
      <c r="U237" s="13"/>
      <c r="V237" s="13"/>
      <c r="W237" s="13"/>
      <c r="X237" s="13"/>
      <c r="Y237" s="13"/>
    </row>
    <row r="238">
      <c r="A238" s="14" t="b">
        <v>0</v>
      </c>
      <c r="B238" s="15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2"/>
      <c r="N238" s="12"/>
      <c r="O238" s="12"/>
      <c r="P238" s="12"/>
      <c r="Q238" s="12"/>
      <c r="R238" s="13"/>
      <c r="S238" s="13"/>
      <c r="T238" s="13"/>
      <c r="U238" s="13"/>
      <c r="V238" s="13"/>
      <c r="W238" s="13"/>
      <c r="X238" s="13"/>
      <c r="Y238" s="13"/>
    </row>
    <row r="239">
      <c r="A239" s="14" t="b">
        <v>0</v>
      </c>
      <c r="B239" s="15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2"/>
      <c r="N239" s="12"/>
      <c r="O239" s="12"/>
      <c r="P239" s="12"/>
      <c r="Q239" s="12"/>
      <c r="R239" s="13"/>
      <c r="S239" s="13"/>
      <c r="T239" s="13"/>
      <c r="U239" s="13"/>
      <c r="V239" s="13"/>
      <c r="W239" s="13"/>
      <c r="X239" s="13"/>
      <c r="Y239" s="13"/>
    </row>
    <row r="240">
      <c r="A240" s="14" t="b">
        <v>0</v>
      </c>
      <c r="B240" s="15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2"/>
      <c r="N240" s="12"/>
      <c r="O240" s="12"/>
      <c r="P240" s="12"/>
      <c r="Q240" s="12"/>
      <c r="R240" s="13"/>
      <c r="S240" s="13"/>
      <c r="T240" s="13"/>
      <c r="U240" s="13"/>
      <c r="V240" s="13"/>
      <c r="W240" s="13"/>
      <c r="X240" s="13"/>
      <c r="Y240" s="13"/>
    </row>
    <row r="241">
      <c r="A241" s="14" t="b">
        <v>0</v>
      </c>
      <c r="B241" s="15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2"/>
      <c r="N241" s="12"/>
      <c r="O241" s="12"/>
      <c r="P241" s="12"/>
      <c r="Q241" s="12"/>
      <c r="R241" s="13"/>
      <c r="S241" s="13"/>
      <c r="T241" s="13"/>
      <c r="U241" s="13"/>
      <c r="V241" s="13"/>
      <c r="W241" s="13"/>
      <c r="X241" s="13"/>
      <c r="Y241" s="13"/>
    </row>
    <row r="242">
      <c r="A242" s="14" t="b">
        <v>0</v>
      </c>
      <c r="B242" s="15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2"/>
      <c r="N242" s="12"/>
      <c r="O242" s="12"/>
      <c r="P242" s="12"/>
      <c r="Q242" s="12"/>
      <c r="R242" s="13"/>
      <c r="S242" s="13"/>
      <c r="T242" s="13"/>
      <c r="U242" s="13"/>
      <c r="V242" s="13"/>
      <c r="W242" s="13"/>
      <c r="X242" s="13"/>
      <c r="Y242" s="13"/>
    </row>
    <row r="243">
      <c r="A243" s="14" t="b">
        <v>0</v>
      </c>
      <c r="B243" s="15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2"/>
      <c r="N243" s="12"/>
      <c r="O243" s="12"/>
      <c r="P243" s="12"/>
      <c r="Q243" s="12"/>
      <c r="R243" s="13"/>
      <c r="S243" s="13"/>
      <c r="T243" s="13"/>
      <c r="U243" s="13"/>
      <c r="V243" s="13"/>
      <c r="W243" s="13"/>
      <c r="X243" s="13"/>
      <c r="Y243" s="13"/>
    </row>
    <row r="244">
      <c r="A244" s="14" t="b">
        <v>0</v>
      </c>
      <c r="B244" s="15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2"/>
      <c r="N244" s="12"/>
      <c r="O244" s="12"/>
      <c r="P244" s="12"/>
      <c r="Q244" s="12"/>
      <c r="R244" s="13"/>
      <c r="S244" s="13"/>
      <c r="T244" s="13"/>
      <c r="U244" s="13"/>
      <c r="V244" s="13"/>
      <c r="W244" s="13"/>
      <c r="X244" s="13"/>
      <c r="Y244" s="13"/>
    </row>
    <row r="245">
      <c r="A245" s="14" t="b">
        <v>0</v>
      </c>
      <c r="B245" s="15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2"/>
      <c r="N245" s="12"/>
      <c r="O245" s="12"/>
      <c r="P245" s="12"/>
      <c r="Q245" s="12"/>
      <c r="R245" s="13"/>
      <c r="S245" s="13"/>
      <c r="T245" s="13"/>
      <c r="U245" s="13"/>
      <c r="V245" s="13"/>
      <c r="W245" s="13"/>
      <c r="X245" s="13"/>
      <c r="Y245" s="13"/>
    </row>
    <row r="246">
      <c r="A246" s="14" t="b">
        <v>0</v>
      </c>
      <c r="B246" s="15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2"/>
      <c r="N246" s="12"/>
      <c r="O246" s="12"/>
      <c r="P246" s="12"/>
      <c r="Q246" s="12"/>
      <c r="R246" s="13"/>
      <c r="S246" s="13"/>
      <c r="T246" s="13"/>
      <c r="U246" s="13"/>
      <c r="V246" s="13"/>
      <c r="W246" s="13"/>
      <c r="X246" s="13"/>
      <c r="Y246" s="13"/>
    </row>
    <row r="247">
      <c r="A247" s="14" t="b">
        <v>0</v>
      </c>
      <c r="B247" s="15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2"/>
      <c r="N247" s="12"/>
      <c r="O247" s="12"/>
      <c r="P247" s="12"/>
      <c r="Q247" s="12"/>
      <c r="R247" s="13"/>
      <c r="S247" s="13"/>
      <c r="T247" s="13"/>
      <c r="U247" s="13"/>
      <c r="V247" s="13"/>
      <c r="W247" s="13"/>
      <c r="X247" s="13"/>
      <c r="Y247" s="13"/>
    </row>
    <row r="248">
      <c r="A248" s="14" t="b">
        <v>0</v>
      </c>
      <c r="B248" s="15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2"/>
      <c r="N248" s="12"/>
      <c r="O248" s="12"/>
      <c r="P248" s="12"/>
      <c r="Q248" s="12"/>
      <c r="R248" s="13"/>
      <c r="S248" s="13"/>
      <c r="T248" s="13"/>
      <c r="U248" s="13"/>
      <c r="V248" s="13"/>
      <c r="W248" s="13"/>
      <c r="X248" s="13"/>
      <c r="Y248" s="13"/>
    </row>
    <row r="249">
      <c r="A249" s="14" t="b">
        <v>0</v>
      </c>
      <c r="B249" s="15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2"/>
      <c r="N249" s="12"/>
      <c r="O249" s="12"/>
      <c r="P249" s="12"/>
      <c r="Q249" s="12"/>
      <c r="R249" s="13"/>
      <c r="S249" s="13"/>
      <c r="T249" s="13"/>
      <c r="U249" s="13"/>
      <c r="V249" s="13"/>
      <c r="W249" s="13"/>
      <c r="X249" s="13"/>
      <c r="Y249" s="13"/>
    </row>
    <row r="250">
      <c r="A250" s="14" t="b">
        <v>0</v>
      </c>
      <c r="B250" s="15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2"/>
      <c r="N250" s="12"/>
      <c r="O250" s="12"/>
      <c r="P250" s="12"/>
      <c r="Q250" s="12"/>
      <c r="R250" s="13"/>
      <c r="S250" s="13"/>
      <c r="T250" s="13"/>
      <c r="U250" s="13"/>
      <c r="V250" s="13"/>
      <c r="W250" s="13"/>
      <c r="X250" s="13"/>
      <c r="Y250" s="13"/>
    </row>
    <row r="251">
      <c r="A251" s="14" t="b">
        <v>0</v>
      </c>
      <c r="B251" s="15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2"/>
      <c r="N251" s="12"/>
      <c r="O251" s="12"/>
      <c r="P251" s="12"/>
      <c r="Q251" s="12"/>
      <c r="R251" s="13"/>
      <c r="S251" s="13"/>
      <c r="T251" s="13"/>
      <c r="U251" s="13"/>
      <c r="V251" s="13"/>
      <c r="W251" s="13"/>
      <c r="X251" s="13"/>
      <c r="Y251" s="13"/>
    </row>
    <row r="252">
      <c r="A252" s="14" t="b">
        <v>0</v>
      </c>
      <c r="B252" s="15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2"/>
      <c r="N252" s="12"/>
      <c r="O252" s="12"/>
      <c r="P252" s="12"/>
      <c r="Q252" s="12"/>
      <c r="R252" s="13"/>
      <c r="S252" s="13"/>
      <c r="T252" s="13"/>
      <c r="U252" s="13"/>
      <c r="V252" s="13"/>
      <c r="W252" s="13"/>
      <c r="X252" s="13"/>
      <c r="Y252" s="13"/>
    </row>
    <row r="253">
      <c r="A253" s="14" t="b">
        <v>0</v>
      </c>
      <c r="B253" s="15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2"/>
      <c r="N253" s="12"/>
      <c r="O253" s="12"/>
      <c r="P253" s="12"/>
      <c r="Q253" s="12"/>
      <c r="R253" s="13"/>
      <c r="S253" s="13"/>
      <c r="T253" s="13"/>
      <c r="U253" s="13"/>
      <c r="V253" s="13"/>
      <c r="W253" s="13"/>
      <c r="X253" s="13"/>
      <c r="Y253" s="13"/>
    </row>
    <row r="254">
      <c r="A254" s="14" t="b">
        <v>0</v>
      </c>
      <c r="B254" s="15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2"/>
      <c r="N254" s="12"/>
      <c r="O254" s="12"/>
      <c r="P254" s="12"/>
      <c r="Q254" s="12"/>
      <c r="R254" s="13"/>
      <c r="S254" s="13"/>
      <c r="T254" s="13"/>
      <c r="U254" s="13"/>
      <c r="V254" s="13"/>
      <c r="W254" s="13"/>
      <c r="X254" s="13"/>
      <c r="Y254" s="13"/>
    </row>
    <row r="255">
      <c r="A255" s="14" t="b">
        <v>0</v>
      </c>
      <c r="B255" s="15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2"/>
      <c r="N255" s="12"/>
      <c r="O255" s="12"/>
      <c r="P255" s="12"/>
      <c r="Q255" s="12"/>
      <c r="R255" s="13"/>
      <c r="S255" s="13"/>
      <c r="T255" s="13"/>
      <c r="U255" s="13"/>
      <c r="V255" s="13"/>
      <c r="W255" s="13"/>
      <c r="X255" s="13"/>
      <c r="Y255" s="13"/>
    </row>
    <row r="256">
      <c r="A256" s="14" t="b">
        <v>0</v>
      </c>
      <c r="B256" s="15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2"/>
      <c r="N256" s="12"/>
      <c r="O256" s="12"/>
      <c r="P256" s="12"/>
      <c r="Q256" s="12"/>
      <c r="R256" s="13"/>
      <c r="S256" s="13"/>
      <c r="T256" s="13"/>
      <c r="U256" s="13"/>
      <c r="V256" s="13"/>
      <c r="W256" s="13"/>
      <c r="X256" s="13"/>
      <c r="Y256" s="13"/>
    </row>
    <row r="257">
      <c r="A257" s="14" t="b">
        <v>0</v>
      </c>
      <c r="B257" s="15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2"/>
      <c r="N257" s="12"/>
      <c r="O257" s="12"/>
      <c r="P257" s="12"/>
      <c r="Q257" s="12"/>
      <c r="R257" s="13"/>
      <c r="S257" s="13"/>
      <c r="T257" s="13"/>
      <c r="U257" s="13"/>
      <c r="V257" s="13"/>
      <c r="W257" s="13"/>
      <c r="X257" s="13"/>
      <c r="Y257" s="13"/>
    </row>
    <row r="258">
      <c r="A258" s="14" t="b">
        <v>0</v>
      </c>
      <c r="B258" s="15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2"/>
      <c r="N258" s="12"/>
      <c r="O258" s="12"/>
      <c r="P258" s="12"/>
      <c r="Q258" s="12"/>
      <c r="R258" s="13"/>
      <c r="S258" s="13"/>
      <c r="T258" s="13"/>
      <c r="U258" s="13"/>
      <c r="V258" s="13"/>
      <c r="W258" s="13"/>
      <c r="X258" s="13"/>
      <c r="Y258" s="13"/>
    </row>
    <row r="259">
      <c r="A259" s="14" t="b">
        <v>0</v>
      </c>
      <c r="B259" s="15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2"/>
      <c r="N259" s="12"/>
      <c r="O259" s="12"/>
      <c r="P259" s="12"/>
      <c r="Q259" s="12"/>
      <c r="R259" s="13"/>
      <c r="S259" s="13"/>
      <c r="T259" s="13"/>
      <c r="U259" s="13"/>
      <c r="V259" s="13"/>
      <c r="W259" s="13"/>
      <c r="X259" s="13"/>
      <c r="Y259" s="13"/>
    </row>
    <row r="260">
      <c r="A260" s="14" t="b">
        <v>0</v>
      </c>
      <c r="B260" s="15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2"/>
      <c r="N260" s="12"/>
      <c r="O260" s="12"/>
      <c r="P260" s="12"/>
      <c r="Q260" s="12"/>
      <c r="R260" s="13"/>
      <c r="S260" s="13"/>
      <c r="T260" s="13"/>
      <c r="U260" s="13"/>
      <c r="V260" s="13"/>
      <c r="W260" s="13"/>
      <c r="X260" s="13"/>
      <c r="Y260" s="13"/>
    </row>
    <row r="261">
      <c r="A261" s="14" t="b">
        <v>0</v>
      </c>
      <c r="B261" s="15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2"/>
      <c r="N261" s="12"/>
      <c r="O261" s="12"/>
      <c r="P261" s="12"/>
      <c r="Q261" s="12"/>
      <c r="R261" s="13"/>
      <c r="S261" s="13"/>
      <c r="T261" s="13"/>
      <c r="U261" s="13"/>
      <c r="V261" s="13"/>
      <c r="W261" s="13"/>
      <c r="X261" s="13"/>
      <c r="Y261" s="13"/>
    </row>
    <row r="262">
      <c r="A262" s="14" t="b">
        <v>0</v>
      </c>
      <c r="B262" s="15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2"/>
      <c r="N262" s="12"/>
      <c r="O262" s="12"/>
      <c r="P262" s="12"/>
      <c r="Q262" s="12"/>
      <c r="R262" s="13"/>
      <c r="S262" s="13"/>
      <c r="T262" s="13"/>
      <c r="U262" s="13"/>
      <c r="V262" s="13"/>
      <c r="W262" s="13"/>
      <c r="X262" s="13"/>
      <c r="Y262" s="13"/>
    </row>
    <row r="263">
      <c r="A263" s="14" t="b">
        <v>0</v>
      </c>
      <c r="B263" s="15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2"/>
      <c r="N263" s="12"/>
      <c r="O263" s="12"/>
      <c r="P263" s="12"/>
      <c r="Q263" s="12"/>
      <c r="R263" s="13"/>
      <c r="S263" s="13"/>
      <c r="T263" s="13"/>
      <c r="U263" s="13"/>
      <c r="V263" s="13"/>
      <c r="W263" s="13"/>
      <c r="X263" s="13"/>
      <c r="Y263" s="13"/>
    </row>
    <row r="264">
      <c r="A264" s="14" t="b">
        <v>0</v>
      </c>
      <c r="B264" s="15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2"/>
      <c r="N264" s="12"/>
      <c r="O264" s="12"/>
      <c r="P264" s="12"/>
      <c r="Q264" s="12"/>
      <c r="R264" s="13"/>
      <c r="S264" s="13"/>
      <c r="T264" s="13"/>
      <c r="U264" s="13"/>
      <c r="V264" s="13"/>
      <c r="W264" s="13"/>
      <c r="X264" s="13"/>
      <c r="Y264" s="13"/>
    </row>
    <row r="265">
      <c r="A265" s="14" t="b">
        <v>0</v>
      </c>
      <c r="B265" s="15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2"/>
      <c r="N265" s="12"/>
      <c r="O265" s="12"/>
      <c r="P265" s="12"/>
      <c r="Q265" s="12"/>
      <c r="R265" s="13"/>
      <c r="S265" s="13"/>
      <c r="T265" s="13"/>
      <c r="U265" s="13"/>
      <c r="V265" s="13"/>
      <c r="W265" s="13"/>
      <c r="X265" s="13"/>
      <c r="Y265" s="13"/>
    </row>
    <row r="266">
      <c r="A266" s="14" t="b">
        <v>0</v>
      </c>
      <c r="B266" s="15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2"/>
      <c r="N266" s="12"/>
      <c r="O266" s="12"/>
      <c r="P266" s="12"/>
      <c r="Q266" s="12"/>
      <c r="R266" s="13"/>
      <c r="S266" s="13"/>
      <c r="T266" s="13"/>
      <c r="U266" s="13"/>
      <c r="V266" s="13"/>
      <c r="W266" s="13"/>
      <c r="X266" s="13"/>
      <c r="Y266" s="13"/>
    </row>
    <row r="267">
      <c r="A267" s="14" t="b">
        <v>0</v>
      </c>
      <c r="B267" s="15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2"/>
      <c r="N267" s="12"/>
      <c r="O267" s="12"/>
      <c r="P267" s="12"/>
      <c r="Q267" s="12"/>
      <c r="R267" s="13"/>
      <c r="S267" s="13"/>
      <c r="T267" s="13"/>
      <c r="U267" s="13"/>
      <c r="V267" s="13"/>
      <c r="W267" s="13"/>
      <c r="X267" s="13"/>
      <c r="Y267" s="13"/>
    </row>
    <row r="268">
      <c r="A268" s="14" t="b">
        <v>0</v>
      </c>
      <c r="B268" s="15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2"/>
      <c r="N268" s="12"/>
      <c r="O268" s="12"/>
      <c r="P268" s="12"/>
      <c r="Q268" s="12"/>
      <c r="R268" s="13"/>
      <c r="S268" s="13"/>
      <c r="T268" s="13"/>
      <c r="U268" s="13"/>
      <c r="V268" s="13"/>
      <c r="W268" s="13"/>
      <c r="X268" s="13"/>
      <c r="Y268" s="13"/>
    </row>
    <row r="269">
      <c r="A269" s="14" t="b">
        <v>0</v>
      </c>
      <c r="B269" s="15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2"/>
      <c r="N269" s="12"/>
      <c r="O269" s="12"/>
      <c r="P269" s="12"/>
      <c r="Q269" s="12"/>
      <c r="R269" s="13"/>
      <c r="S269" s="13"/>
      <c r="T269" s="13"/>
      <c r="U269" s="13"/>
      <c r="V269" s="13"/>
      <c r="W269" s="13"/>
      <c r="X269" s="13"/>
      <c r="Y269" s="13"/>
    </row>
    <row r="270">
      <c r="A270" s="14" t="b">
        <v>0</v>
      </c>
      <c r="B270" s="15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2"/>
      <c r="N270" s="12"/>
      <c r="O270" s="12"/>
      <c r="P270" s="12"/>
      <c r="Q270" s="12"/>
      <c r="R270" s="13"/>
      <c r="S270" s="13"/>
      <c r="T270" s="13"/>
      <c r="U270" s="13"/>
      <c r="V270" s="13"/>
      <c r="W270" s="13"/>
      <c r="X270" s="13"/>
      <c r="Y270" s="13"/>
    </row>
    <row r="271">
      <c r="A271" s="14" t="b">
        <v>0</v>
      </c>
      <c r="B271" s="15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2"/>
      <c r="N271" s="12"/>
      <c r="O271" s="12"/>
      <c r="P271" s="12"/>
      <c r="Q271" s="12"/>
      <c r="R271" s="13"/>
      <c r="S271" s="13"/>
      <c r="T271" s="13"/>
      <c r="U271" s="13"/>
      <c r="V271" s="13"/>
      <c r="W271" s="13"/>
      <c r="X271" s="13"/>
      <c r="Y271" s="13"/>
    </row>
    <row r="272">
      <c r="A272" s="14" t="b">
        <v>0</v>
      </c>
      <c r="B272" s="15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2"/>
      <c r="N272" s="12"/>
      <c r="O272" s="12"/>
      <c r="P272" s="12"/>
      <c r="Q272" s="12"/>
      <c r="R272" s="13"/>
      <c r="S272" s="13"/>
      <c r="T272" s="13"/>
      <c r="U272" s="13"/>
      <c r="V272" s="13"/>
      <c r="W272" s="13"/>
      <c r="X272" s="13"/>
      <c r="Y272" s="13"/>
    </row>
    <row r="273">
      <c r="A273" s="14" t="b">
        <v>0</v>
      </c>
      <c r="B273" s="15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2"/>
      <c r="N273" s="12"/>
      <c r="O273" s="12"/>
      <c r="P273" s="12"/>
      <c r="Q273" s="12"/>
      <c r="R273" s="13"/>
      <c r="S273" s="13"/>
      <c r="T273" s="13"/>
      <c r="U273" s="13"/>
      <c r="V273" s="13"/>
      <c r="W273" s="13"/>
      <c r="X273" s="13"/>
      <c r="Y273" s="13"/>
    </row>
    <row r="274">
      <c r="A274" s="14" t="b">
        <v>0</v>
      </c>
      <c r="B274" s="15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2"/>
      <c r="N274" s="12"/>
      <c r="O274" s="12"/>
      <c r="P274" s="12"/>
      <c r="Q274" s="12"/>
      <c r="R274" s="13"/>
      <c r="S274" s="13"/>
      <c r="T274" s="13"/>
      <c r="U274" s="13"/>
      <c r="V274" s="13"/>
      <c r="W274" s="13"/>
      <c r="X274" s="13"/>
      <c r="Y274" s="13"/>
    </row>
    <row r="275">
      <c r="A275" s="14" t="b">
        <v>0</v>
      </c>
      <c r="B275" s="15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2"/>
      <c r="N275" s="12"/>
      <c r="O275" s="12"/>
      <c r="P275" s="12"/>
      <c r="Q275" s="12"/>
      <c r="R275" s="13"/>
      <c r="S275" s="13"/>
      <c r="T275" s="13"/>
      <c r="U275" s="13"/>
      <c r="V275" s="13"/>
      <c r="W275" s="13"/>
      <c r="X275" s="13"/>
      <c r="Y275" s="13"/>
    </row>
    <row r="276">
      <c r="A276" s="14" t="b">
        <v>0</v>
      </c>
      <c r="B276" s="15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2"/>
      <c r="N276" s="12"/>
      <c r="O276" s="12"/>
      <c r="P276" s="12"/>
      <c r="Q276" s="12"/>
      <c r="R276" s="13"/>
      <c r="S276" s="13"/>
      <c r="T276" s="13"/>
      <c r="U276" s="13"/>
      <c r="V276" s="13"/>
      <c r="W276" s="13"/>
      <c r="X276" s="13"/>
      <c r="Y276" s="13"/>
    </row>
    <row r="277">
      <c r="A277" s="14" t="b">
        <v>0</v>
      </c>
      <c r="B277" s="15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2"/>
      <c r="N277" s="12"/>
      <c r="O277" s="12"/>
      <c r="P277" s="12"/>
      <c r="Q277" s="12"/>
      <c r="R277" s="13"/>
      <c r="S277" s="13"/>
      <c r="T277" s="13"/>
      <c r="U277" s="13"/>
      <c r="V277" s="13"/>
      <c r="W277" s="13"/>
      <c r="X277" s="13"/>
      <c r="Y277" s="13"/>
    </row>
    <row r="278">
      <c r="A278" s="14" t="b">
        <v>0</v>
      </c>
      <c r="B278" s="15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2"/>
      <c r="N278" s="12"/>
      <c r="O278" s="12"/>
      <c r="P278" s="12"/>
      <c r="Q278" s="12"/>
      <c r="R278" s="13"/>
      <c r="S278" s="13"/>
      <c r="T278" s="13"/>
      <c r="U278" s="13"/>
      <c r="V278" s="13"/>
      <c r="W278" s="13"/>
      <c r="X278" s="13"/>
      <c r="Y278" s="13"/>
    </row>
    <row r="279">
      <c r="A279" s="14" t="b">
        <v>0</v>
      </c>
      <c r="B279" s="15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2"/>
      <c r="N279" s="12"/>
      <c r="O279" s="12"/>
      <c r="P279" s="12"/>
      <c r="Q279" s="12"/>
      <c r="R279" s="13"/>
      <c r="S279" s="13"/>
      <c r="T279" s="13"/>
      <c r="U279" s="13"/>
      <c r="V279" s="13"/>
      <c r="W279" s="13"/>
      <c r="X279" s="13"/>
      <c r="Y279" s="13"/>
    </row>
    <row r="280">
      <c r="A280" s="14" t="b">
        <v>0</v>
      </c>
      <c r="B280" s="15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2"/>
      <c r="N280" s="12"/>
      <c r="O280" s="12"/>
      <c r="P280" s="12"/>
      <c r="Q280" s="12"/>
      <c r="R280" s="13"/>
      <c r="S280" s="13"/>
      <c r="T280" s="13"/>
      <c r="U280" s="13"/>
      <c r="V280" s="13"/>
      <c r="W280" s="13"/>
      <c r="X280" s="13"/>
      <c r="Y280" s="13"/>
    </row>
    <row r="281">
      <c r="A281" s="14" t="b">
        <v>0</v>
      </c>
      <c r="B281" s="15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2"/>
      <c r="N281" s="12"/>
      <c r="O281" s="12"/>
      <c r="P281" s="12"/>
      <c r="Q281" s="12"/>
      <c r="R281" s="13"/>
      <c r="S281" s="13"/>
      <c r="T281" s="13"/>
      <c r="U281" s="13"/>
      <c r="V281" s="13"/>
      <c r="W281" s="13"/>
      <c r="X281" s="13"/>
      <c r="Y281" s="13"/>
    </row>
    <row r="282">
      <c r="A282" s="14" t="b">
        <v>0</v>
      </c>
      <c r="B282" s="15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2"/>
      <c r="N282" s="12"/>
      <c r="O282" s="12"/>
      <c r="P282" s="12"/>
      <c r="Q282" s="12"/>
      <c r="R282" s="13"/>
      <c r="S282" s="13"/>
      <c r="T282" s="13"/>
      <c r="U282" s="13"/>
      <c r="V282" s="13"/>
      <c r="W282" s="13"/>
      <c r="X282" s="13"/>
      <c r="Y282" s="13"/>
    </row>
    <row r="283">
      <c r="A283" s="14" t="b">
        <v>0</v>
      </c>
      <c r="B283" s="15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2"/>
      <c r="N283" s="12"/>
      <c r="O283" s="12"/>
      <c r="P283" s="12"/>
      <c r="Q283" s="12"/>
      <c r="R283" s="13"/>
      <c r="S283" s="13"/>
      <c r="T283" s="13"/>
      <c r="U283" s="13"/>
      <c r="V283" s="13"/>
      <c r="W283" s="13"/>
      <c r="X283" s="13"/>
      <c r="Y283" s="13"/>
    </row>
    <row r="284">
      <c r="A284" s="14" t="b">
        <v>0</v>
      </c>
      <c r="B284" s="15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2"/>
      <c r="N284" s="12"/>
      <c r="O284" s="12"/>
      <c r="P284" s="12"/>
      <c r="Q284" s="12"/>
      <c r="R284" s="13"/>
      <c r="S284" s="13"/>
      <c r="T284" s="13"/>
      <c r="U284" s="13"/>
      <c r="V284" s="13"/>
      <c r="W284" s="13"/>
      <c r="X284" s="13"/>
      <c r="Y284" s="13"/>
    </row>
    <row r="285">
      <c r="A285" s="14" t="b">
        <v>0</v>
      </c>
      <c r="B285" s="15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2"/>
      <c r="N285" s="12"/>
      <c r="O285" s="12"/>
      <c r="P285" s="12"/>
      <c r="Q285" s="12"/>
      <c r="R285" s="13"/>
      <c r="S285" s="13"/>
      <c r="T285" s="13"/>
      <c r="U285" s="13"/>
      <c r="V285" s="13"/>
      <c r="W285" s="13"/>
      <c r="X285" s="13"/>
      <c r="Y285" s="13"/>
    </row>
    <row r="286">
      <c r="A286" s="14" t="b">
        <v>0</v>
      </c>
      <c r="B286" s="15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2"/>
      <c r="N286" s="12"/>
      <c r="O286" s="12"/>
      <c r="P286" s="12"/>
      <c r="Q286" s="12"/>
      <c r="R286" s="13"/>
      <c r="S286" s="13"/>
      <c r="T286" s="13"/>
      <c r="U286" s="13"/>
      <c r="V286" s="13"/>
      <c r="W286" s="13"/>
      <c r="X286" s="13"/>
      <c r="Y286" s="13"/>
    </row>
    <row r="287">
      <c r="A287" s="14" t="b">
        <v>0</v>
      </c>
      <c r="B287" s="15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2"/>
      <c r="N287" s="12"/>
      <c r="O287" s="12"/>
      <c r="P287" s="12"/>
      <c r="Q287" s="12"/>
      <c r="R287" s="13"/>
      <c r="S287" s="13"/>
      <c r="T287" s="13"/>
      <c r="U287" s="13"/>
      <c r="V287" s="13"/>
      <c r="W287" s="13"/>
      <c r="X287" s="13"/>
      <c r="Y287" s="13"/>
    </row>
    <row r="288">
      <c r="A288" s="14" t="b">
        <v>0</v>
      </c>
      <c r="B288" s="15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2"/>
      <c r="N288" s="12"/>
      <c r="O288" s="12"/>
      <c r="P288" s="12"/>
      <c r="Q288" s="12"/>
      <c r="R288" s="13"/>
      <c r="S288" s="13"/>
      <c r="T288" s="13"/>
      <c r="U288" s="13"/>
      <c r="V288" s="13"/>
      <c r="W288" s="13"/>
      <c r="X288" s="13"/>
      <c r="Y288" s="13"/>
    </row>
    <row r="289">
      <c r="A289" s="14" t="b">
        <v>0</v>
      </c>
      <c r="B289" s="15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2"/>
      <c r="N289" s="12"/>
      <c r="O289" s="12"/>
      <c r="P289" s="12"/>
      <c r="Q289" s="12"/>
      <c r="R289" s="13"/>
      <c r="S289" s="13"/>
      <c r="T289" s="13"/>
      <c r="U289" s="13"/>
      <c r="V289" s="13"/>
      <c r="W289" s="13"/>
      <c r="X289" s="13"/>
      <c r="Y289" s="13"/>
    </row>
    <row r="290">
      <c r="A290" s="14" t="b">
        <v>0</v>
      </c>
      <c r="B290" s="15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2"/>
      <c r="N290" s="12"/>
      <c r="O290" s="12"/>
      <c r="P290" s="12"/>
      <c r="Q290" s="12"/>
      <c r="R290" s="13"/>
      <c r="S290" s="13"/>
      <c r="T290" s="13"/>
      <c r="U290" s="13"/>
      <c r="V290" s="13"/>
      <c r="W290" s="13"/>
      <c r="X290" s="13"/>
      <c r="Y290" s="13"/>
    </row>
    <row r="291">
      <c r="A291" s="14" t="b">
        <v>0</v>
      </c>
      <c r="B291" s="15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2"/>
      <c r="N291" s="12"/>
      <c r="O291" s="12"/>
      <c r="P291" s="12"/>
      <c r="Q291" s="12"/>
      <c r="R291" s="13"/>
      <c r="S291" s="13"/>
      <c r="T291" s="13"/>
      <c r="U291" s="13"/>
      <c r="V291" s="13"/>
      <c r="W291" s="13"/>
      <c r="X291" s="13"/>
      <c r="Y291" s="13"/>
    </row>
    <row r="292">
      <c r="A292" s="14" t="b">
        <v>0</v>
      </c>
      <c r="B292" s="15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2"/>
      <c r="N292" s="12"/>
      <c r="O292" s="12"/>
      <c r="P292" s="12"/>
      <c r="Q292" s="12"/>
      <c r="R292" s="13"/>
      <c r="S292" s="13"/>
      <c r="T292" s="13"/>
      <c r="U292" s="13"/>
      <c r="V292" s="13"/>
      <c r="W292" s="13"/>
      <c r="X292" s="13"/>
      <c r="Y292" s="13"/>
    </row>
    <row r="293">
      <c r="A293" s="14" t="b">
        <v>0</v>
      </c>
      <c r="B293" s="15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2"/>
      <c r="N293" s="12"/>
      <c r="O293" s="12"/>
      <c r="P293" s="12"/>
      <c r="Q293" s="12"/>
      <c r="R293" s="13"/>
      <c r="S293" s="13"/>
      <c r="T293" s="13"/>
      <c r="U293" s="13"/>
      <c r="V293" s="13"/>
      <c r="W293" s="13"/>
      <c r="X293" s="13"/>
      <c r="Y293" s="13"/>
    </row>
    <row r="294">
      <c r="A294" s="14" t="b">
        <v>0</v>
      </c>
      <c r="B294" s="15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2"/>
      <c r="N294" s="12"/>
      <c r="O294" s="12"/>
      <c r="P294" s="12"/>
      <c r="Q294" s="12"/>
      <c r="R294" s="13"/>
      <c r="S294" s="13"/>
      <c r="T294" s="13"/>
      <c r="U294" s="13"/>
      <c r="V294" s="13"/>
      <c r="W294" s="13"/>
      <c r="X294" s="13"/>
      <c r="Y294" s="13"/>
    </row>
    <row r="295">
      <c r="A295" s="14" t="b">
        <v>0</v>
      </c>
      <c r="B295" s="15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2"/>
      <c r="N295" s="12"/>
      <c r="O295" s="12"/>
      <c r="P295" s="12"/>
      <c r="Q295" s="12"/>
      <c r="R295" s="13"/>
      <c r="S295" s="13"/>
      <c r="T295" s="13"/>
      <c r="U295" s="13"/>
      <c r="V295" s="13"/>
      <c r="W295" s="13"/>
      <c r="X295" s="13"/>
      <c r="Y295" s="13"/>
    </row>
    <row r="296">
      <c r="A296" s="14" t="b">
        <v>0</v>
      </c>
      <c r="B296" s="15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2"/>
      <c r="N296" s="12"/>
      <c r="O296" s="12"/>
      <c r="P296" s="12"/>
      <c r="Q296" s="12"/>
      <c r="R296" s="13"/>
      <c r="S296" s="13"/>
      <c r="T296" s="13"/>
      <c r="U296" s="13"/>
      <c r="V296" s="13"/>
      <c r="W296" s="13"/>
      <c r="X296" s="13"/>
      <c r="Y296" s="13"/>
    </row>
    <row r="297">
      <c r="A297" s="14" t="b">
        <v>0</v>
      </c>
      <c r="B297" s="15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2"/>
      <c r="N297" s="12"/>
      <c r="O297" s="12"/>
      <c r="P297" s="12"/>
      <c r="Q297" s="12"/>
      <c r="R297" s="13"/>
      <c r="S297" s="13"/>
      <c r="T297" s="13"/>
      <c r="U297" s="13"/>
      <c r="V297" s="13"/>
      <c r="W297" s="13"/>
      <c r="X297" s="13"/>
      <c r="Y297" s="13"/>
    </row>
    <row r="298">
      <c r="A298" s="14" t="b">
        <v>0</v>
      </c>
      <c r="B298" s="15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2"/>
      <c r="N298" s="12"/>
      <c r="O298" s="12"/>
      <c r="P298" s="12"/>
      <c r="Q298" s="12"/>
      <c r="R298" s="13"/>
      <c r="S298" s="13"/>
      <c r="T298" s="13"/>
      <c r="U298" s="13"/>
      <c r="V298" s="13"/>
      <c r="W298" s="13"/>
      <c r="X298" s="13"/>
      <c r="Y298" s="13"/>
    </row>
    <row r="299">
      <c r="A299" s="14" t="b">
        <v>0</v>
      </c>
      <c r="B299" s="15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2"/>
      <c r="N299" s="12"/>
      <c r="O299" s="12"/>
      <c r="P299" s="12"/>
      <c r="Q299" s="12"/>
      <c r="R299" s="13"/>
      <c r="S299" s="13"/>
      <c r="T299" s="13"/>
      <c r="U299" s="13"/>
      <c r="V299" s="13"/>
      <c r="W299" s="13"/>
      <c r="X299" s="13"/>
      <c r="Y299" s="13"/>
    </row>
    <row r="300">
      <c r="A300" s="14" t="b">
        <v>0</v>
      </c>
      <c r="B300" s="15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2"/>
      <c r="N300" s="12"/>
      <c r="O300" s="12"/>
      <c r="P300" s="12"/>
      <c r="Q300" s="12"/>
      <c r="R300" s="13"/>
      <c r="S300" s="13"/>
      <c r="T300" s="13"/>
      <c r="U300" s="13"/>
      <c r="V300" s="13"/>
      <c r="W300" s="13"/>
      <c r="X300" s="13"/>
      <c r="Y300" s="13"/>
    </row>
    <row r="301">
      <c r="A301" s="14" t="b">
        <v>0</v>
      </c>
      <c r="B301" s="15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2"/>
      <c r="N301" s="12"/>
      <c r="O301" s="12"/>
      <c r="P301" s="12"/>
      <c r="Q301" s="12"/>
      <c r="R301" s="13"/>
      <c r="S301" s="13"/>
      <c r="T301" s="13"/>
      <c r="U301" s="13"/>
      <c r="V301" s="13"/>
      <c r="W301" s="13"/>
      <c r="X301" s="13"/>
      <c r="Y301" s="13"/>
    </row>
    <row r="302">
      <c r="A302" s="14" t="b">
        <v>0</v>
      </c>
      <c r="B302" s="15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2"/>
      <c r="N302" s="12"/>
      <c r="O302" s="12"/>
      <c r="P302" s="12"/>
      <c r="Q302" s="12"/>
      <c r="R302" s="13"/>
      <c r="S302" s="13"/>
      <c r="T302" s="13"/>
      <c r="U302" s="13"/>
      <c r="V302" s="13"/>
      <c r="W302" s="13"/>
      <c r="X302" s="13"/>
      <c r="Y302" s="13"/>
    </row>
    <row r="303">
      <c r="A303" s="14" t="b">
        <v>0</v>
      </c>
      <c r="B303" s="15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2"/>
      <c r="N303" s="12"/>
      <c r="O303" s="12"/>
      <c r="P303" s="12"/>
      <c r="Q303" s="12"/>
      <c r="R303" s="13"/>
      <c r="S303" s="13"/>
      <c r="T303" s="13"/>
      <c r="U303" s="13"/>
      <c r="V303" s="13"/>
      <c r="W303" s="13"/>
      <c r="X303" s="13"/>
      <c r="Y303" s="13"/>
    </row>
    <row r="304">
      <c r="A304" s="14" t="b">
        <v>0</v>
      </c>
      <c r="B304" s="15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2"/>
      <c r="N304" s="12"/>
      <c r="O304" s="12"/>
      <c r="P304" s="12"/>
      <c r="Q304" s="12"/>
      <c r="R304" s="13"/>
      <c r="S304" s="13"/>
      <c r="T304" s="13"/>
      <c r="U304" s="13"/>
      <c r="V304" s="13"/>
      <c r="W304" s="13"/>
      <c r="X304" s="13"/>
      <c r="Y304" s="13"/>
    </row>
    <row r="305">
      <c r="A305" s="14" t="b">
        <v>0</v>
      </c>
      <c r="B305" s="15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2"/>
      <c r="N305" s="12"/>
      <c r="O305" s="12"/>
      <c r="P305" s="12"/>
      <c r="Q305" s="12"/>
      <c r="R305" s="13"/>
      <c r="S305" s="13"/>
      <c r="T305" s="13"/>
      <c r="U305" s="13"/>
      <c r="V305" s="13"/>
      <c r="W305" s="13"/>
      <c r="X305" s="13"/>
      <c r="Y305" s="13"/>
    </row>
    <row r="306">
      <c r="A306" s="14" t="b">
        <v>0</v>
      </c>
      <c r="B306" s="15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2"/>
      <c r="N306" s="12"/>
      <c r="O306" s="12"/>
      <c r="P306" s="12"/>
      <c r="Q306" s="12"/>
      <c r="R306" s="13"/>
      <c r="S306" s="13"/>
      <c r="T306" s="13"/>
      <c r="U306" s="13"/>
      <c r="V306" s="13"/>
      <c r="W306" s="13"/>
      <c r="X306" s="13"/>
      <c r="Y306" s="13"/>
    </row>
    <row r="307">
      <c r="A307" s="14" t="b">
        <v>0</v>
      </c>
      <c r="B307" s="15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2"/>
      <c r="N307" s="12"/>
      <c r="O307" s="12"/>
      <c r="P307" s="12"/>
      <c r="Q307" s="12"/>
      <c r="R307" s="13"/>
      <c r="S307" s="13"/>
      <c r="T307" s="13"/>
      <c r="U307" s="13"/>
      <c r="V307" s="13"/>
      <c r="W307" s="13"/>
      <c r="X307" s="13"/>
      <c r="Y307" s="13"/>
    </row>
    <row r="308">
      <c r="A308" s="14" t="b">
        <v>0</v>
      </c>
      <c r="B308" s="15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2"/>
      <c r="N308" s="12"/>
      <c r="O308" s="12"/>
      <c r="P308" s="12"/>
      <c r="Q308" s="12"/>
      <c r="R308" s="13"/>
      <c r="S308" s="13"/>
      <c r="T308" s="13"/>
      <c r="U308" s="13"/>
      <c r="V308" s="13"/>
      <c r="W308" s="13"/>
      <c r="X308" s="13"/>
      <c r="Y308" s="13"/>
    </row>
    <row r="309">
      <c r="A309" s="14" t="b">
        <v>0</v>
      </c>
      <c r="B309" s="15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2"/>
      <c r="N309" s="12"/>
      <c r="O309" s="12"/>
      <c r="P309" s="12"/>
      <c r="Q309" s="12"/>
      <c r="R309" s="13"/>
      <c r="S309" s="13"/>
      <c r="T309" s="13"/>
      <c r="U309" s="13"/>
      <c r="V309" s="13"/>
      <c r="W309" s="13"/>
      <c r="X309" s="13"/>
      <c r="Y309" s="13"/>
    </row>
    <row r="310">
      <c r="A310" s="14" t="b">
        <v>0</v>
      </c>
      <c r="B310" s="15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2"/>
      <c r="N310" s="12"/>
      <c r="O310" s="12"/>
      <c r="P310" s="12"/>
      <c r="Q310" s="12"/>
      <c r="R310" s="13"/>
      <c r="S310" s="13"/>
      <c r="T310" s="13"/>
      <c r="U310" s="13"/>
      <c r="V310" s="13"/>
      <c r="W310" s="13"/>
      <c r="X310" s="13"/>
      <c r="Y310" s="13"/>
    </row>
    <row r="311">
      <c r="A311" s="14" t="b">
        <v>0</v>
      </c>
      <c r="B311" s="15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2"/>
      <c r="N311" s="12"/>
      <c r="O311" s="12"/>
      <c r="P311" s="12"/>
      <c r="Q311" s="12"/>
      <c r="R311" s="13"/>
      <c r="S311" s="13"/>
      <c r="T311" s="13"/>
      <c r="U311" s="13"/>
      <c r="V311" s="13"/>
      <c r="W311" s="13"/>
      <c r="X311" s="13"/>
      <c r="Y311" s="13"/>
    </row>
    <row r="312">
      <c r="A312" s="14" t="b">
        <v>0</v>
      </c>
      <c r="B312" s="15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2"/>
      <c r="N312" s="12"/>
      <c r="O312" s="12"/>
      <c r="P312" s="12"/>
      <c r="Q312" s="12"/>
      <c r="R312" s="13"/>
      <c r="S312" s="13"/>
      <c r="T312" s="13"/>
      <c r="U312" s="13"/>
      <c r="V312" s="13"/>
      <c r="W312" s="13"/>
      <c r="X312" s="13"/>
      <c r="Y312" s="13"/>
    </row>
    <row r="313">
      <c r="A313" s="14" t="b">
        <v>0</v>
      </c>
      <c r="B313" s="15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2"/>
      <c r="N313" s="12"/>
      <c r="O313" s="12"/>
      <c r="P313" s="12"/>
      <c r="Q313" s="12"/>
      <c r="R313" s="13"/>
      <c r="S313" s="13"/>
      <c r="T313" s="13"/>
      <c r="U313" s="13"/>
      <c r="V313" s="13"/>
      <c r="W313" s="13"/>
      <c r="X313" s="13"/>
      <c r="Y313" s="13"/>
    </row>
    <row r="314">
      <c r="A314" s="14" t="b">
        <v>0</v>
      </c>
      <c r="B314" s="15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2"/>
      <c r="N314" s="12"/>
      <c r="O314" s="12"/>
      <c r="P314" s="12"/>
      <c r="Q314" s="12"/>
      <c r="R314" s="13"/>
      <c r="S314" s="13"/>
      <c r="T314" s="13"/>
      <c r="U314" s="13"/>
      <c r="V314" s="13"/>
      <c r="W314" s="13"/>
      <c r="X314" s="13"/>
      <c r="Y314" s="13"/>
    </row>
    <row r="315">
      <c r="A315" s="14" t="b">
        <v>0</v>
      </c>
      <c r="B315" s="15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2"/>
      <c r="N315" s="12"/>
      <c r="O315" s="12"/>
      <c r="P315" s="12"/>
      <c r="Q315" s="12"/>
      <c r="R315" s="13"/>
      <c r="S315" s="13"/>
      <c r="T315" s="13"/>
      <c r="U315" s="13"/>
      <c r="V315" s="13"/>
      <c r="W315" s="13"/>
      <c r="X315" s="13"/>
      <c r="Y315" s="13"/>
    </row>
    <row r="316">
      <c r="A316" s="14" t="b">
        <v>0</v>
      </c>
      <c r="B316" s="15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2"/>
      <c r="N316" s="12"/>
      <c r="O316" s="12"/>
      <c r="P316" s="12"/>
      <c r="Q316" s="12"/>
      <c r="R316" s="13"/>
      <c r="S316" s="13"/>
      <c r="T316" s="13"/>
      <c r="U316" s="13"/>
      <c r="V316" s="13"/>
      <c r="W316" s="13"/>
      <c r="X316" s="13"/>
      <c r="Y316" s="13"/>
    </row>
    <row r="317">
      <c r="A317" s="14" t="b">
        <v>0</v>
      </c>
      <c r="B317" s="15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2"/>
      <c r="N317" s="12"/>
      <c r="O317" s="12"/>
      <c r="P317" s="12"/>
      <c r="Q317" s="12"/>
      <c r="R317" s="13"/>
      <c r="S317" s="13"/>
      <c r="T317" s="13"/>
      <c r="U317" s="13"/>
      <c r="V317" s="13"/>
      <c r="W317" s="13"/>
      <c r="X317" s="13"/>
      <c r="Y317" s="13"/>
    </row>
    <row r="318">
      <c r="A318" s="14" t="b">
        <v>0</v>
      </c>
      <c r="B318" s="15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2"/>
      <c r="N318" s="12"/>
      <c r="O318" s="12"/>
      <c r="P318" s="12"/>
      <c r="Q318" s="12"/>
      <c r="R318" s="13"/>
      <c r="S318" s="13"/>
      <c r="T318" s="13"/>
      <c r="U318" s="13"/>
      <c r="V318" s="13"/>
      <c r="W318" s="13"/>
      <c r="X318" s="13"/>
      <c r="Y318" s="13"/>
    </row>
    <row r="319">
      <c r="A319" s="14" t="b">
        <v>0</v>
      </c>
      <c r="B319" s="15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2"/>
      <c r="N319" s="12"/>
      <c r="O319" s="12"/>
      <c r="P319" s="12"/>
      <c r="Q319" s="12"/>
      <c r="R319" s="13"/>
      <c r="S319" s="13"/>
      <c r="T319" s="13"/>
      <c r="U319" s="13"/>
      <c r="V319" s="13"/>
      <c r="W319" s="13"/>
      <c r="X319" s="13"/>
      <c r="Y319" s="13"/>
    </row>
    <row r="320">
      <c r="A320" s="14" t="b">
        <v>0</v>
      </c>
      <c r="B320" s="15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2"/>
      <c r="N320" s="12"/>
      <c r="O320" s="12"/>
      <c r="P320" s="12"/>
      <c r="Q320" s="12"/>
      <c r="R320" s="13"/>
      <c r="S320" s="13"/>
      <c r="T320" s="13"/>
      <c r="U320" s="13"/>
      <c r="V320" s="13"/>
      <c r="W320" s="13"/>
      <c r="X320" s="13"/>
      <c r="Y320" s="13"/>
    </row>
    <row r="321">
      <c r="A321" s="14" t="b">
        <v>0</v>
      </c>
      <c r="B321" s="15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2"/>
      <c r="N321" s="12"/>
      <c r="O321" s="12"/>
      <c r="P321" s="12"/>
      <c r="Q321" s="12"/>
      <c r="R321" s="13"/>
      <c r="S321" s="13"/>
      <c r="T321" s="13"/>
      <c r="U321" s="13"/>
      <c r="V321" s="13"/>
      <c r="W321" s="13"/>
      <c r="X321" s="13"/>
      <c r="Y321" s="13"/>
    </row>
    <row r="322">
      <c r="A322" s="14" t="b">
        <v>0</v>
      </c>
      <c r="B322" s="15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2"/>
      <c r="N322" s="12"/>
      <c r="O322" s="12"/>
      <c r="P322" s="12"/>
      <c r="Q322" s="12"/>
      <c r="R322" s="13"/>
      <c r="S322" s="13"/>
      <c r="T322" s="13"/>
      <c r="U322" s="13"/>
      <c r="V322" s="13"/>
      <c r="W322" s="13"/>
      <c r="X322" s="13"/>
      <c r="Y322" s="13"/>
    </row>
    <row r="323">
      <c r="A323" s="14" t="b">
        <v>0</v>
      </c>
      <c r="B323" s="15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2"/>
      <c r="N323" s="12"/>
      <c r="O323" s="12"/>
      <c r="P323" s="12"/>
      <c r="Q323" s="12"/>
      <c r="R323" s="13"/>
      <c r="S323" s="13"/>
      <c r="T323" s="13"/>
      <c r="U323" s="13"/>
      <c r="V323" s="13"/>
      <c r="W323" s="13"/>
      <c r="X323" s="13"/>
      <c r="Y323" s="13"/>
    </row>
    <row r="324">
      <c r="A324" s="14" t="b">
        <v>0</v>
      </c>
      <c r="B324" s="15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2"/>
      <c r="N324" s="12"/>
      <c r="O324" s="12"/>
      <c r="P324" s="12"/>
      <c r="Q324" s="12"/>
      <c r="R324" s="13"/>
      <c r="S324" s="13"/>
      <c r="T324" s="13"/>
      <c r="U324" s="13"/>
      <c r="V324" s="13"/>
      <c r="W324" s="13"/>
      <c r="X324" s="13"/>
      <c r="Y324" s="13"/>
    </row>
    <row r="325">
      <c r="A325" s="14" t="b">
        <v>0</v>
      </c>
      <c r="B325" s="15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2"/>
      <c r="N325" s="12"/>
      <c r="O325" s="12"/>
      <c r="P325" s="12"/>
      <c r="Q325" s="12"/>
      <c r="R325" s="13"/>
      <c r="S325" s="13"/>
      <c r="T325" s="13"/>
      <c r="U325" s="13"/>
      <c r="V325" s="13"/>
      <c r="W325" s="13"/>
      <c r="X325" s="13"/>
      <c r="Y325" s="13"/>
    </row>
    <row r="326">
      <c r="A326" s="14" t="b">
        <v>0</v>
      </c>
      <c r="B326" s="15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2"/>
      <c r="N326" s="12"/>
      <c r="O326" s="12"/>
      <c r="P326" s="12"/>
      <c r="Q326" s="12"/>
      <c r="R326" s="13"/>
      <c r="S326" s="13"/>
      <c r="T326" s="13"/>
      <c r="U326" s="13"/>
      <c r="V326" s="13"/>
      <c r="W326" s="13"/>
      <c r="X326" s="13"/>
      <c r="Y326" s="13"/>
    </row>
    <row r="327">
      <c r="A327" s="14" t="b">
        <v>0</v>
      </c>
      <c r="B327" s="15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2"/>
      <c r="N327" s="12"/>
      <c r="O327" s="12"/>
      <c r="P327" s="12"/>
      <c r="Q327" s="12"/>
      <c r="R327" s="13"/>
      <c r="S327" s="13"/>
      <c r="T327" s="13"/>
      <c r="U327" s="13"/>
      <c r="V327" s="13"/>
      <c r="W327" s="13"/>
      <c r="X327" s="13"/>
      <c r="Y327" s="13"/>
    </row>
    <row r="328">
      <c r="A328" s="14" t="b">
        <v>0</v>
      </c>
      <c r="B328" s="15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2"/>
      <c r="N328" s="12"/>
      <c r="O328" s="12"/>
      <c r="P328" s="12"/>
      <c r="Q328" s="12"/>
      <c r="R328" s="13"/>
      <c r="S328" s="13"/>
      <c r="T328" s="13"/>
      <c r="U328" s="13"/>
      <c r="V328" s="13"/>
      <c r="W328" s="13"/>
      <c r="X328" s="13"/>
      <c r="Y328" s="13"/>
    </row>
    <row r="329">
      <c r="A329" s="14" t="b">
        <v>0</v>
      </c>
      <c r="B329" s="15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2"/>
      <c r="N329" s="12"/>
      <c r="O329" s="12"/>
      <c r="P329" s="12"/>
      <c r="Q329" s="12"/>
      <c r="R329" s="13"/>
      <c r="S329" s="13"/>
      <c r="T329" s="13"/>
      <c r="U329" s="13"/>
      <c r="V329" s="13"/>
      <c r="W329" s="13"/>
      <c r="X329" s="13"/>
      <c r="Y329" s="13"/>
    </row>
    <row r="330">
      <c r="A330" s="14" t="b">
        <v>0</v>
      </c>
      <c r="B330" s="15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2"/>
      <c r="N330" s="12"/>
      <c r="O330" s="12"/>
      <c r="P330" s="12"/>
      <c r="Q330" s="12"/>
      <c r="R330" s="13"/>
      <c r="S330" s="13"/>
      <c r="T330" s="13"/>
      <c r="U330" s="13"/>
      <c r="V330" s="13"/>
      <c r="W330" s="13"/>
      <c r="X330" s="13"/>
      <c r="Y330" s="13"/>
    </row>
    <row r="331">
      <c r="A331" s="14" t="b">
        <v>0</v>
      </c>
      <c r="B331" s="15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2"/>
      <c r="N331" s="12"/>
      <c r="O331" s="12"/>
      <c r="P331" s="12"/>
      <c r="Q331" s="12"/>
      <c r="R331" s="13"/>
      <c r="S331" s="13"/>
      <c r="T331" s="13"/>
      <c r="U331" s="13"/>
      <c r="V331" s="13"/>
      <c r="W331" s="13"/>
      <c r="X331" s="13"/>
      <c r="Y331" s="13"/>
    </row>
    <row r="332">
      <c r="A332" s="14" t="b">
        <v>0</v>
      </c>
      <c r="B332" s="15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2"/>
      <c r="N332" s="12"/>
      <c r="O332" s="12"/>
      <c r="P332" s="12"/>
      <c r="Q332" s="12"/>
      <c r="R332" s="13"/>
      <c r="S332" s="13"/>
      <c r="T332" s="13"/>
      <c r="U332" s="13"/>
      <c r="V332" s="13"/>
      <c r="W332" s="13"/>
      <c r="X332" s="13"/>
      <c r="Y332" s="13"/>
    </row>
    <row r="333">
      <c r="A333" s="14" t="b">
        <v>0</v>
      </c>
      <c r="B333" s="15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2"/>
      <c r="N333" s="12"/>
      <c r="O333" s="12"/>
      <c r="P333" s="12"/>
      <c r="Q333" s="12"/>
      <c r="R333" s="13"/>
      <c r="S333" s="13"/>
      <c r="T333" s="13"/>
      <c r="U333" s="13"/>
      <c r="V333" s="13"/>
      <c r="W333" s="13"/>
      <c r="X333" s="13"/>
      <c r="Y333" s="13"/>
    </row>
    <row r="334">
      <c r="A334" s="14" t="b">
        <v>0</v>
      </c>
      <c r="B334" s="15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2"/>
      <c r="N334" s="12"/>
      <c r="O334" s="12"/>
      <c r="P334" s="12"/>
      <c r="Q334" s="12"/>
      <c r="R334" s="13"/>
      <c r="S334" s="13"/>
      <c r="T334" s="13"/>
      <c r="U334" s="13"/>
      <c r="V334" s="13"/>
      <c r="W334" s="13"/>
      <c r="X334" s="13"/>
      <c r="Y334" s="13"/>
    </row>
    <row r="335">
      <c r="A335" s="14" t="b">
        <v>0</v>
      </c>
      <c r="B335" s="15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2"/>
      <c r="N335" s="12"/>
      <c r="O335" s="12"/>
      <c r="P335" s="12"/>
      <c r="Q335" s="12"/>
      <c r="R335" s="13"/>
      <c r="S335" s="13"/>
      <c r="T335" s="13"/>
      <c r="U335" s="13"/>
      <c r="V335" s="13"/>
      <c r="W335" s="13"/>
      <c r="X335" s="13"/>
      <c r="Y335" s="13"/>
    </row>
    <row r="336">
      <c r="A336" s="14" t="b">
        <v>0</v>
      </c>
      <c r="B336" s="15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2"/>
      <c r="N336" s="12"/>
      <c r="O336" s="12"/>
      <c r="P336" s="12"/>
      <c r="Q336" s="12"/>
      <c r="R336" s="13"/>
      <c r="S336" s="13"/>
      <c r="T336" s="13"/>
      <c r="U336" s="13"/>
      <c r="V336" s="13"/>
      <c r="W336" s="13"/>
      <c r="X336" s="13"/>
      <c r="Y336" s="13"/>
    </row>
    <row r="337">
      <c r="A337" s="14" t="b">
        <v>0</v>
      </c>
      <c r="B337" s="15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2"/>
      <c r="N337" s="12"/>
      <c r="O337" s="12"/>
      <c r="P337" s="12"/>
      <c r="Q337" s="12"/>
      <c r="R337" s="13"/>
      <c r="S337" s="13"/>
      <c r="T337" s="13"/>
      <c r="U337" s="13"/>
      <c r="V337" s="13"/>
      <c r="W337" s="13"/>
      <c r="X337" s="13"/>
      <c r="Y337" s="13"/>
    </row>
    <row r="338">
      <c r="A338" s="14" t="b">
        <v>0</v>
      </c>
      <c r="B338" s="15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2"/>
      <c r="N338" s="12"/>
      <c r="O338" s="12"/>
      <c r="P338" s="12"/>
      <c r="Q338" s="12"/>
      <c r="R338" s="13"/>
      <c r="S338" s="13"/>
      <c r="T338" s="13"/>
      <c r="U338" s="13"/>
      <c r="V338" s="13"/>
      <c r="W338" s="13"/>
      <c r="X338" s="13"/>
      <c r="Y338" s="13"/>
    </row>
    <row r="339">
      <c r="A339" s="14" t="b">
        <v>0</v>
      </c>
      <c r="B339" s="15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2"/>
      <c r="N339" s="12"/>
      <c r="O339" s="12"/>
      <c r="P339" s="12"/>
      <c r="Q339" s="12"/>
      <c r="R339" s="13"/>
      <c r="S339" s="13"/>
      <c r="T339" s="13"/>
      <c r="U339" s="13"/>
      <c r="V339" s="13"/>
      <c r="W339" s="13"/>
      <c r="X339" s="13"/>
      <c r="Y339" s="13"/>
    </row>
    <row r="340">
      <c r="A340" s="14" t="b">
        <v>0</v>
      </c>
      <c r="B340" s="15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2"/>
      <c r="N340" s="12"/>
      <c r="O340" s="12"/>
      <c r="P340" s="12"/>
      <c r="Q340" s="12"/>
      <c r="R340" s="13"/>
      <c r="S340" s="13"/>
      <c r="T340" s="13"/>
      <c r="U340" s="13"/>
      <c r="V340" s="13"/>
      <c r="W340" s="13"/>
      <c r="X340" s="13"/>
      <c r="Y340" s="13"/>
    </row>
    <row r="341">
      <c r="A341" s="14" t="b">
        <v>0</v>
      </c>
      <c r="B341" s="15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2"/>
      <c r="N341" s="12"/>
      <c r="O341" s="12"/>
      <c r="P341" s="12"/>
      <c r="Q341" s="12"/>
      <c r="R341" s="13"/>
      <c r="S341" s="13"/>
      <c r="T341" s="13"/>
      <c r="U341" s="13"/>
      <c r="V341" s="13"/>
      <c r="W341" s="13"/>
      <c r="X341" s="13"/>
      <c r="Y341" s="13"/>
    </row>
    <row r="342">
      <c r="A342" s="19"/>
      <c r="B342" s="12"/>
      <c r="C342" s="10"/>
      <c r="D342" s="20"/>
      <c r="E342" s="10"/>
      <c r="F342" s="10"/>
      <c r="G342" s="10"/>
      <c r="H342" s="10"/>
      <c r="I342" s="10"/>
      <c r="J342" s="10"/>
      <c r="K342" s="10"/>
      <c r="L342" s="10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>
      <c r="A343" s="19"/>
      <c r="B343" s="12"/>
      <c r="C343" s="10"/>
      <c r="D343" s="20"/>
      <c r="E343" s="10"/>
      <c r="F343" s="10"/>
      <c r="G343" s="10"/>
      <c r="H343" s="10"/>
      <c r="I343" s="10"/>
      <c r="J343" s="10"/>
      <c r="K343" s="10"/>
      <c r="L343" s="10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>
      <c r="A344" s="19"/>
      <c r="B344" s="12"/>
      <c r="C344" s="10"/>
      <c r="D344" s="20"/>
      <c r="E344" s="10"/>
      <c r="F344" s="10"/>
      <c r="G344" s="10"/>
      <c r="H344" s="10"/>
      <c r="I344" s="10"/>
      <c r="J344" s="10"/>
      <c r="K344" s="10"/>
      <c r="L344" s="10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>
      <c r="A345" s="19"/>
      <c r="B345" s="12"/>
      <c r="C345" s="10"/>
      <c r="D345" s="20"/>
      <c r="E345" s="10"/>
      <c r="F345" s="10"/>
      <c r="G345" s="10"/>
      <c r="H345" s="10"/>
      <c r="I345" s="10"/>
      <c r="J345" s="10"/>
      <c r="K345" s="10"/>
      <c r="L345" s="10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>
      <c r="A346" s="19"/>
      <c r="B346" s="12"/>
      <c r="C346" s="10"/>
      <c r="D346" s="20"/>
      <c r="E346" s="10"/>
      <c r="F346" s="10"/>
      <c r="G346" s="10"/>
      <c r="H346" s="10"/>
      <c r="I346" s="10"/>
      <c r="J346" s="10"/>
      <c r="K346" s="10"/>
      <c r="L346" s="10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>
      <c r="A347" s="19"/>
      <c r="B347" s="12"/>
      <c r="C347" s="10"/>
      <c r="D347" s="20"/>
      <c r="E347" s="10"/>
      <c r="F347" s="10"/>
      <c r="G347" s="10"/>
      <c r="H347" s="10"/>
      <c r="I347" s="10"/>
      <c r="J347" s="10"/>
      <c r="K347" s="10"/>
      <c r="L347" s="10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>
      <c r="A348" s="19"/>
      <c r="B348" s="12"/>
      <c r="C348" s="10"/>
      <c r="D348" s="20"/>
      <c r="E348" s="10"/>
      <c r="F348" s="10"/>
      <c r="G348" s="10"/>
      <c r="H348" s="10"/>
      <c r="I348" s="10"/>
      <c r="J348" s="10"/>
      <c r="K348" s="10"/>
      <c r="L348" s="10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>
      <c r="A349" s="19"/>
      <c r="B349" s="12"/>
      <c r="C349" s="10"/>
      <c r="D349" s="20"/>
      <c r="E349" s="10"/>
      <c r="F349" s="10"/>
      <c r="G349" s="10"/>
      <c r="H349" s="10"/>
      <c r="I349" s="10"/>
      <c r="J349" s="10"/>
      <c r="K349" s="10"/>
      <c r="L349" s="10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>
      <c r="A350" s="19"/>
      <c r="B350" s="12"/>
      <c r="C350" s="10"/>
      <c r="D350" s="20"/>
      <c r="E350" s="10"/>
      <c r="F350" s="10"/>
      <c r="G350" s="10"/>
      <c r="H350" s="10"/>
      <c r="I350" s="10"/>
      <c r="J350" s="10"/>
      <c r="K350" s="10"/>
      <c r="L350" s="10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>
      <c r="A351" s="19"/>
      <c r="B351" s="12"/>
      <c r="C351" s="10"/>
      <c r="D351" s="20"/>
      <c r="E351" s="10"/>
      <c r="F351" s="10"/>
      <c r="G351" s="10"/>
      <c r="H351" s="10"/>
      <c r="I351" s="10"/>
      <c r="J351" s="10"/>
      <c r="K351" s="10"/>
      <c r="L351" s="10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>
      <c r="A352" s="19"/>
      <c r="B352" s="12"/>
      <c r="C352" s="10"/>
      <c r="D352" s="20"/>
      <c r="E352" s="10"/>
      <c r="F352" s="10"/>
      <c r="G352" s="10"/>
      <c r="H352" s="10"/>
      <c r="I352" s="10"/>
      <c r="J352" s="10"/>
      <c r="K352" s="10"/>
      <c r="L352" s="10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>
      <c r="A353" s="19"/>
      <c r="B353" s="12"/>
      <c r="C353" s="10"/>
      <c r="D353" s="20"/>
      <c r="E353" s="10"/>
      <c r="F353" s="10"/>
      <c r="G353" s="10"/>
      <c r="H353" s="10"/>
      <c r="I353" s="10"/>
      <c r="J353" s="10"/>
      <c r="K353" s="10"/>
      <c r="L353" s="10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>
      <c r="A354" s="19"/>
      <c r="B354" s="12"/>
      <c r="C354" s="10"/>
      <c r="D354" s="20"/>
      <c r="E354" s="10"/>
      <c r="F354" s="10"/>
      <c r="G354" s="10"/>
      <c r="H354" s="10"/>
      <c r="I354" s="10"/>
      <c r="J354" s="10"/>
      <c r="K354" s="10"/>
      <c r="L354" s="10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>
      <c r="A355" s="19"/>
      <c r="B355" s="12"/>
      <c r="C355" s="10"/>
      <c r="D355" s="20"/>
      <c r="E355" s="10"/>
      <c r="F355" s="10"/>
      <c r="G355" s="10"/>
      <c r="H355" s="10"/>
      <c r="I355" s="10"/>
      <c r="J355" s="10"/>
      <c r="K355" s="10"/>
      <c r="L355" s="10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>
      <c r="A356" s="19"/>
      <c r="B356" s="12"/>
      <c r="C356" s="10"/>
      <c r="D356" s="20"/>
      <c r="E356" s="10"/>
      <c r="F356" s="10"/>
      <c r="G356" s="10"/>
      <c r="H356" s="10"/>
      <c r="I356" s="10"/>
      <c r="J356" s="10"/>
      <c r="K356" s="10"/>
      <c r="L356" s="10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>
      <c r="A357" s="19"/>
      <c r="B357" s="12"/>
      <c r="C357" s="10"/>
      <c r="D357" s="20"/>
      <c r="E357" s="10"/>
      <c r="F357" s="10"/>
      <c r="G357" s="10"/>
      <c r="H357" s="10"/>
      <c r="I357" s="10"/>
      <c r="J357" s="10"/>
      <c r="K357" s="10"/>
      <c r="L357" s="10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>
      <c r="A358" s="19"/>
      <c r="B358" s="12"/>
      <c r="C358" s="10"/>
      <c r="D358" s="20"/>
      <c r="E358" s="10"/>
      <c r="F358" s="10"/>
      <c r="G358" s="10"/>
      <c r="H358" s="10"/>
      <c r="I358" s="10"/>
      <c r="J358" s="10"/>
      <c r="K358" s="10"/>
      <c r="L358" s="10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>
      <c r="A359" s="19"/>
      <c r="B359" s="12"/>
      <c r="C359" s="10"/>
      <c r="D359" s="20"/>
      <c r="E359" s="10"/>
      <c r="F359" s="10"/>
      <c r="G359" s="10"/>
      <c r="H359" s="10"/>
      <c r="I359" s="10"/>
      <c r="J359" s="10"/>
      <c r="K359" s="10"/>
      <c r="L359" s="10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>
      <c r="A360" s="19"/>
      <c r="B360" s="12"/>
      <c r="C360" s="10"/>
      <c r="D360" s="20"/>
      <c r="E360" s="10"/>
      <c r="F360" s="10"/>
      <c r="G360" s="10"/>
      <c r="H360" s="10"/>
      <c r="I360" s="10"/>
      <c r="J360" s="10"/>
      <c r="K360" s="10"/>
      <c r="L360" s="10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>
      <c r="A361" s="19"/>
      <c r="B361" s="12"/>
      <c r="C361" s="10"/>
      <c r="D361" s="20"/>
      <c r="E361" s="10"/>
      <c r="F361" s="10"/>
      <c r="G361" s="10"/>
      <c r="H361" s="10"/>
      <c r="I361" s="10"/>
      <c r="J361" s="10"/>
      <c r="K361" s="10"/>
      <c r="L361" s="10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>
      <c r="A362" s="19"/>
      <c r="B362" s="12"/>
      <c r="C362" s="10"/>
      <c r="D362" s="20"/>
      <c r="E362" s="10"/>
      <c r="F362" s="10"/>
      <c r="G362" s="10"/>
      <c r="H362" s="10"/>
      <c r="I362" s="10"/>
      <c r="J362" s="10"/>
      <c r="K362" s="10"/>
      <c r="L362" s="10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>
      <c r="A363" s="19"/>
      <c r="B363" s="12"/>
      <c r="C363" s="10"/>
      <c r="D363" s="20"/>
      <c r="E363" s="10"/>
      <c r="F363" s="10"/>
      <c r="G363" s="10"/>
      <c r="H363" s="10"/>
      <c r="I363" s="10"/>
      <c r="J363" s="10"/>
      <c r="K363" s="10"/>
      <c r="L363" s="10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>
      <c r="A364" s="19"/>
      <c r="B364" s="12"/>
      <c r="C364" s="10"/>
      <c r="D364" s="20"/>
      <c r="E364" s="10"/>
      <c r="F364" s="10"/>
      <c r="G364" s="10"/>
      <c r="H364" s="10"/>
      <c r="I364" s="10"/>
      <c r="J364" s="10"/>
      <c r="K364" s="10"/>
      <c r="L364" s="10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>
      <c r="A365" s="19"/>
      <c r="B365" s="12"/>
      <c r="C365" s="10"/>
      <c r="D365" s="20"/>
      <c r="E365" s="10"/>
      <c r="F365" s="10"/>
      <c r="G365" s="10"/>
      <c r="H365" s="10"/>
      <c r="I365" s="10"/>
      <c r="J365" s="10"/>
      <c r="K365" s="10"/>
      <c r="L365" s="10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>
      <c r="A366" s="19"/>
      <c r="B366" s="12"/>
      <c r="C366" s="10"/>
      <c r="D366" s="20"/>
      <c r="E366" s="10"/>
      <c r="F366" s="10"/>
      <c r="G366" s="10"/>
      <c r="H366" s="10"/>
      <c r="I366" s="10"/>
      <c r="J366" s="10"/>
      <c r="K366" s="10"/>
      <c r="L366" s="10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>
      <c r="A367" s="19"/>
      <c r="B367" s="12"/>
      <c r="C367" s="10"/>
      <c r="D367" s="20"/>
      <c r="E367" s="10"/>
      <c r="F367" s="10"/>
      <c r="G367" s="10"/>
      <c r="H367" s="10"/>
      <c r="I367" s="10"/>
      <c r="J367" s="10"/>
      <c r="K367" s="10"/>
      <c r="L367" s="10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>
      <c r="A368" s="19"/>
      <c r="B368" s="12"/>
      <c r="C368" s="10"/>
      <c r="D368" s="20"/>
      <c r="E368" s="10"/>
      <c r="F368" s="10"/>
      <c r="G368" s="10"/>
      <c r="H368" s="10"/>
      <c r="I368" s="10"/>
      <c r="J368" s="10"/>
      <c r="K368" s="10"/>
      <c r="L368" s="10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>
      <c r="A369" s="19"/>
      <c r="B369" s="12"/>
      <c r="C369" s="10"/>
      <c r="D369" s="20"/>
      <c r="E369" s="10"/>
      <c r="F369" s="10"/>
      <c r="G369" s="10"/>
      <c r="H369" s="10"/>
      <c r="I369" s="10"/>
      <c r="J369" s="10"/>
      <c r="K369" s="10"/>
      <c r="L369" s="10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>
      <c r="A370" s="19"/>
      <c r="B370" s="12"/>
      <c r="C370" s="10"/>
      <c r="D370" s="20"/>
      <c r="E370" s="10"/>
      <c r="F370" s="10"/>
      <c r="G370" s="10"/>
      <c r="H370" s="10"/>
      <c r="I370" s="10"/>
      <c r="J370" s="10"/>
      <c r="K370" s="10"/>
      <c r="L370" s="10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>
      <c r="A371" s="19"/>
      <c r="B371" s="12"/>
      <c r="C371" s="10"/>
      <c r="D371" s="20"/>
      <c r="E371" s="10"/>
      <c r="F371" s="10"/>
      <c r="G371" s="10"/>
      <c r="H371" s="10"/>
      <c r="I371" s="10"/>
      <c r="J371" s="10"/>
      <c r="K371" s="10"/>
      <c r="L371" s="10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>
      <c r="A372" s="19"/>
      <c r="B372" s="12"/>
      <c r="C372" s="10"/>
      <c r="D372" s="20"/>
      <c r="E372" s="10"/>
      <c r="F372" s="10"/>
      <c r="G372" s="10"/>
      <c r="H372" s="10"/>
      <c r="I372" s="10"/>
      <c r="J372" s="10"/>
      <c r="K372" s="10"/>
      <c r="L372" s="10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>
      <c r="A373" s="19"/>
      <c r="B373" s="12"/>
      <c r="C373" s="10"/>
      <c r="D373" s="20"/>
      <c r="E373" s="10"/>
      <c r="F373" s="10"/>
      <c r="G373" s="10"/>
      <c r="H373" s="10"/>
      <c r="I373" s="10"/>
      <c r="J373" s="10"/>
      <c r="K373" s="10"/>
      <c r="L373" s="10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>
      <c r="A374" s="19"/>
      <c r="B374" s="12"/>
      <c r="C374" s="10"/>
      <c r="D374" s="20"/>
      <c r="E374" s="10"/>
      <c r="F374" s="10"/>
      <c r="G374" s="10"/>
      <c r="H374" s="10"/>
      <c r="I374" s="10"/>
      <c r="J374" s="10"/>
      <c r="K374" s="10"/>
      <c r="L374" s="10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>
      <c r="A375" s="19"/>
      <c r="B375" s="12"/>
      <c r="C375" s="10"/>
      <c r="D375" s="20"/>
      <c r="E375" s="10"/>
      <c r="F375" s="10"/>
      <c r="G375" s="10"/>
      <c r="H375" s="10"/>
      <c r="I375" s="10"/>
      <c r="J375" s="10"/>
      <c r="K375" s="10"/>
      <c r="L375" s="10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>
      <c r="A376" s="19"/>
      <c r="B376" s="12"/>
      <c r="C376" s="10"/>
      <c r="D376" s="20"/>
      <c r="E376" s="10"/>
      <c r="F376" s="10"/>
      <c r="G376" s="10"/>
      <c r="H376" s="10"/>
      <c r="I376" s="10"/>
      <c r="J376" s="10"/>
      <c r="K376" s="10"/>
      <c r="L376" s="10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>
      <c r="A377" s="19"/>
      <c r="B377" s="12"/>
      <c r="C377" s="10"/>
      <c r="D377" s="20"/>
      <c r="E377" s="10"/>
      <c r="F377" s="10"/>
      <c r="G377" s="10"/>
      <c r="H377" s="10"/>
      <c r="I377" s="10"/>
      <c r="J377" s="10"/>
      <c r="K377" s="10"/>
      <c r="L377" s="10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>
      <c r="A378" s="19"/>
      <c r="B378" s="12"/>
      <c r="C378" s="10"/>
      <c r="D378" s="20"/>
      <c r="E378" s="10"/>
      <c r="F378" s="10"/>
      <c r="G378" s="10"/>
      <c r="H378" s="10"/>
      <c r="I378" s="10"/>
      <c r="J378" s="10"/>
      <c r="K378" s="10"/>
      <c r="L378" s="10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>
      <c r="A379" s="19"/>
      <c r="B379" s="12"/>
      <c r="C379" s="10"/>
      <c r="D379" s="20"/>
      <c r="E379" s="10"/>
      <c r="F379" s="10"/>
      <c r="G379" s="10"/>
      <c r="H379" s="10"/>
      <c r="I379" s="10"/>
      <c r="J379" s="10"/>
      <c r="K379" s="10"/>
      <c r="L379" s="10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>
      <c r="A380" s="19"/>
      <c r="B380" s="12"/>
      <c r="C380" s="10"/>
      <c r="D380" s="20"/>
      <c r="E380" s="10"/>
      <c r="F380" s="10"/>
      <c r="G380" s="10"/>
      <c r="H380" s="10"/>
      <c r="I380" s="10"/>
      <c r="J380" s="10"/>
      <c r="K380" s="10"/>
      <c r="L380" s="10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>
      <c r="A381" s="19"/>
      <c r="B381" s="12"/>
      <c r="C381" s="10"/>
      <c r="D381" s="20"/>
      <c r="E381" s="10"/>
      <c r="F381" s="10"/>
      <c r="G381" s="10"/>
      <c r="H381" s="10"/>
      <c r="I381" s="10"/>
      <c r="J381" s="10"/>
      <c r="K381" s="10"/>
      <c r="L381" s="10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>
      <c r="A382" s="19"/>
      <c r="B382" s="12"/>
      <c r="C382" s="10"/>
      <c r="D382" s="20"/>
      <c r="E382" s="10"/>
      <c r="F382" s="10"/>
      <c r="G382" s="10"/>
      <c r="H382" s="10"/>
      <c r="I382" s="10"/>
      <c r="J382" s="10"/>
      <c r="K382" s="10"/>
      <c r="L382" s="10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>
      <c r="A383" s="19"/>
      <c r="B383" s="12"/>
      <c r="C383" s="10"/>
      <c r="D383" s="20"/>
      <c r="E383" s="10"/>
      <c r="F383" s="10"/>
      <c r="G383" s="10"/>
      <c r="H383" s="10"/>
      <c r="I383" s="10"/>
      <c r="J383" s="10"/>
      <c r="K383" s="10"/>
      <c r="L383" s="10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>
      <c r="A384" s="19"/>
      <c r="B384" s="12"/>
      <c r="C384" s="10"/>
      <c r="D384" s="20"/>
      <c r="E384" s="10"/>
      <c r="F384" s="10"/>
      <c r="G384" s="10"/>
      <c r="H384" s="10"/>
      <c r="I384" s="10"/>
      <c r="J384" s="10"/>
      <c r="K384" s="10"/>
      <c r="L384" s="10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>
      <c r="A385" s="19"/>
      <c r="B385" s="12"/>
      <c r="C385" s="10"/>
      <c r="D385" s="20"/>
      <c r="E385" s="10"/>
      <c r="F385" s="10"/>
      <c r="G385" s="10"/>
      <c r="H385" s="10"/>
      <c r="I385" s="10"/>
      <c r="J385" s="10"/>
      <c r="K385" s="10"/>
      <c r="L385" s="10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>
      <c r="A386" s="19"/>
      <c r="B386" s="12"/>
      <c r="C386" s="10"/>
      <c r="D386" s="20"/>
      <c r="E386" s="10"/>
      <c r="F386" s="10"/>
      <c r="G386" s="10"/>
      <c r="H386" s="10"/>
      <c r="I386" s="10"/>
      <c r="J386" s="10"/>
      <c r="K386" s="10"/>
      <c r="L386" s="10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>
      <c r="A387" s="19"/>
      <c r="B387" s="12"/>
      <c r="C387" s="10"/>
      <c r="D387" s="20"/>
      <c r="E387" s="10"/>
      <c r="F387" s="10"/>
      <c r="G387" s="10"/>
      <c r="H387" s="10"/>
      <c r="I387" s="10"/>
      <c r="J387" s="10"/>
      <c r="K387" s="10"/>
      <c r="L387" s="10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>
      <c r="A388" s="19"/>
      <c r="B388" s="12"/>
      <c r="C388" s="10"/>
      <c r="D388" s="20"/>
      <c r="E388" s="10"/>
      <c r="F388" s="10"/>
      <c r="G388" s="10"/>
      <c r="H388" s="10"/>
      <c r="I388" s="10"/>
      <c r="J388" s="10"/>
      <c r="K388" s="10"/>
      <c r="L388" s="10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>
      <c r="A389" s="19"/>
      <c r="B389" s="12"/>
      <c r="C389" s="10"/>
      <c r="D389" s="20"/>
      <c r="E389" s="10"/>
      <c r="F389" s="10"/>
      <c r="G389" s="10"/>
      <c r="H389" s="10"/>
      <c r="I389" s="10"/>
      <c r="J389" s="10"/>
      <c r="K389" s="10"/>
      <c r="L389" s="10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>
      <c r="A390" s="19"/>
      <c r="B390" s="12"/>
      <c r="C390" s="10"/>
      <c r="D390" s="20"/>
      <c r="E390" s="10"/>
      <c r="F390" s="10"/>
      <c r="G390" s="10"/>
      <c r="H390" s="10"/>
      <c r="I390" s="10"/>
      <c r="J390" s="10"/>
      <c r="K390" s="10"/>
      <c r="L390" s="10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>
      <c r="A391" s="19"/>
      <c r="B391" s="12"/>
      <c r="C391" s="10"/>
      <c r="D391" s="20"/>
      <c r="E391" s="10"/>
      <c r="F391" s="10"/>
      <c r="G391" s="10"/>
      <c r="H391" s="10"/>
      <c r="I391" s="10"/>
      <c r="J391" s="10"/>
      <c r="K391" s="10"/>
      <c r="L391" s="10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>
      <c r="A392" s="19"/>
      <c r="B392" s="12"/>
      <c r="C392" s="10"/>
      <c r="D392" s="20"/>
      <c r="E392" s="10"/>
      <c r="F392" s="10"/>
      <c r="G392" s="10"/>
      <c r="H392" s="10"/>
      <c r="I392" s="10"/>
      <c r="J392" s="10"/>
      <c r="K392" s="10"/>
      <c r="L392" s="10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>
      <c r="A393" s="19"/>
      <c r="B393" s="12"/>
      <c r="C393" s="10"/>
      <c r="D393" s="20"/>
      <c r="E393" s="10"/>
      <c r="F393" s="10"/>
      <c r="G393" s="10"/>
      <c r="H393" s="10"/>
      <c r="I393" s="10"/>
      <c r="J393" s="10"/>
      <c r="K393" s="10"/>
      <c r="L393" s="10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>
      <c r="A394" s="19"/>
      <c r="B394" s="12"/>
      <c r="C394" s="10"/>
      <c r="D394" s="20"/>
      <c r="E394" s="10"/>
      <c r="F394" s="10"/>
      <c r="G394" s="10"/>
      <c r="H394" s="10"/>
      <c r="I394" s="10"/>
      <c r="J394" s="10"/>
      <c r="K394" s="10"/>
      <c r="L394" s="10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>
      <c r="A395" s="19"/>
      <c r="B395" s="12"/>
      <c r="C395" s="10"/>
      <c r="D395" s="20"/>
      <c r="E395" s="10"/>
      <c r="F395" s="10"/>
      <c r="G395" s="10"/>
      <c r="H395" s="10"/>
      <c r="I395" s="10"/>
      <c r="J395" s="10"/>
      <c r="K395" s="10"/>
      <c r="L395" s="10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>
      <c r="A396" s="19"/>
      <c r="B396" s="12"/>
      <c r="C396" s="10"/>
      <c r="D396" s="20"/>
      <c r="E396" s="10"/>
      <c r="F396" s="10"/>
      <c r="G396" s="10"/>
      <c r="H396" s="10"/>
      <c r="I396" s="10"/>
      <c r="J396" s="10"/>
      <c r="K396" s="10"/>
      <c r="L396" s="10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>
      <c r="A397" s="19"/>
      <c r="B397" s="12"/>
      <c r="C397" s="10"/>
      <c r="D397" s="20"/>
      <c r="E397" s="10"/>
      <c r="F397" s="10"/>
      <c r="G397" s="10"/>
      <c r="H397" s="10"/>
      <c r="I397" s="10"/>
      <c r="J397" s="10"/>
      <c r="K397" s="10"/>
      <c r="L397" s="10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>
      <c r="A398" s="19"/>
      <c r="B398" s="12"/>
      <c r="C398" s="10"/>
      <c r="D398" s="20"/>
      <c r="E398" s="10"/>
      <c r="F398" s="10"/>
      <c r="G398" s="10"/>
      <c r="H398" s="10"/>
      <c r="I398" s="10"/>
      <c r="J398" s="10"/>
      <c r="K398" s="10"/>
      <c r="L398" s="10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>
      <c r="A399" s="19"/>
      <c r="B399" s="12"/>
      <c r="C399" s="10"/>
      <c r="D399" s="20"/>
      <c r="E399" s="10"/>
      <c r="F399" s="10"/>
      <c r="G399" s="10"/>
      <c r="H399" s="10"/>
      <c r="I399" s="10"/>
      <c r="J399" s="10"/>
      <c r="K399" s="10"/>
      <c r="L399" s="10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>
      <c r="A400" s="19"/>
      <c r="B400" s="12"/>
      <c r="C400" s="10"/>
      <c r="D400" s="20"/>
      <c r="E400" s="10"/>
      <c r="F400" s="10"/>
      <c r="G400" s="10"/>
      <c r="H400" s="10"/>
      <c r="I400" s="10"/>
      <c r="J400" s="10"/>
      <c r="K400" s="10"/>
      <c r="L400" s="10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>
      <c r="A401" s="19"/>
      <c r="B401" s="12"/>
      <c r="C401" s="10"/>
      <c r="D401" s="20"/>
      <c r="E401" s="10"/>
      <c r="F401" s="10"/>
      <c r="G401" s="10"/>
      <c r="H401" s="10"/>
      <c r="I401" s="10"/>
      <c r="J401" s="10"/>
      <c r="K401" s="10"/>
      <c r="L401" s="10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>
      <c r="A402" s="19"/>
      <c r="B402" s="12"/>
      <c r="C402" s="10"/>
      <c r="D402" s="20"/>
      <c r="E402" s="10"/>
      <c r="F402" s="10"/>
      <c r="G402" s="10"/>
      <c r="H402" s="10"/>
      <c r="I402" s="10"/>
      <c r="J402" s="10"/>
      <c r="K402" s="10"/>
      <c r="L402" s="10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>
      <c r="A403" s="19"/>
      <c r="B403" s="12"/>
      <c r="C403" s="10"/>
      <c r="D403" s="20"/>
      <c r="E403" s="10"/>
      <c r="F403" s="10"/>
      <c r="G403" s="10"/>
      <c r="H403" s="10"/>
      <c r="I403" s="10"/>
      <c r="J403" s="10"/>
      <c r="K403" s="10"/>
      <c r="L403" s="10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>
      <c r="A404" s="19"/>
      <c r="B404" s="12"/>
      <c r="C404" s="10"/>
      <c r="D404" s="20"/>
      <c r="E404" s="10"/>
      <c r="F404" s="10"/>
      <c r="G404" s="10"/>
      <c r="H404" s="10"/>
      <c r="I404" s="10"/>
      <c r="J404" s="10"/>
      <c r="K404" s="10"/>
      <c r="L404" s="10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>
      <c r="A405" s="19"/>
      <c r="B405" s="12"/>
      <c r="C405" s="10"/>
      <c r="D405" s="20"/>
      <c r="E405" s="10"/>
      <c r="F405" s="10"/>
      <c r="G405" s="10"/>
      <c r="H405" s="10"/>
      <c r="I405" s="10"/>
      <c r="J405" s="10"/>
      <c r="K405" s="10"/>
      <c r="L405" s="10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>
      <c r="A406" s="19"/>
      <c r="B406" s="12"/>
      <c r="C406" s="10"/>
      <c r="D406" s="20"/>
      <c r="E406" s="10"/>
      <c r="F406" s="10"/>
      <c r="G406" s="10"/>
      <c r="H406" s="10"/>
      <c r="I406" s="10"/>
      <c r="J406" s="10"/>
      <c r="K406" s="10"/>
      <c r="L406" s="10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>
      <c r="A407" s="19"/>
      <c r="B407" s="12"/>
      <c r="C407" s="10"/>
      <c r="D407" s="20"/>
      <c r="E407" s="10"/>
      <c r="F407" s="10"/>
      <c r="G407" s="10"/>
      <c r="H407" s="10"/>
      <c r="I407" s="10"/>
      <c r="J407" s="10"/>
      <c r="K407" s="10"/>
      <c r="L407" s="10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>
      <c r="A408" s="19"/>
      <c r="B408" s="12"/>
      <c r="C408" s="10"/>
      <c r="D408" s="20"/>
      <c r="E408" s="10"/>
      <c r="F408" s="10"/>
      <c r="G408" s="10"/>
      <c r="H408" s="10"/>
      <c r="I408" s="10"/>
      <c r="J408" s="10"/>
      <c r="K408" s="10"/>
      <c r="L408" s="10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>
      <c r="A409" s="19"/>
      <c r="B409" s="12"/>
      <c r="C409" s="10"/>
      <c r="D409" s="20"/>
      <c r="E409" s="10"/>
      <c r="F409" s="10"/>
      <c r="G409" s="10"/>
      <c r="H409" s="10"/>
      <c r="I409" s="10"/>
      <c r="J409" s="10"/>
      <c r="K409" s="10"/>
      <c r="L409" s="10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>
      <c r="A410" s="19"/>
      <c r="B410" s="12"/>
      <c r="C410" s="10"/>
      <c r="D410" s="20"/>
      <c r="E410" s="10"/>
      <c r="F410" s="10"/>
      <c r="G410" s="10"/>
      <c r="H410" s="10"/>
      <c r="I410" s="10"/>
      <c r="J410" s="10"/>
      <c r="K410" s="10"/>
      <c r="L410" s="10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>
      <c r="A411" s="19"/>
      <c r="B411" s="12"/>
      <c r="C411" s="10"/>
      <c r="D411" s="20"/>
      <c r="E411" s="10"/>
      <c r="F411" s="10"/>
      <c r="G411" s="10"/>
      <c r="H411" s="10"/>
      <c r="I411" s="10"/>
      <c r="J411" s="10"/>
      <c r="K411" s="10"/>
      <c r="L411" s="10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>
      <c r="A412" s="19"/>
      <c r="B412" s="12"/>
      <c r="C412" s="10"/>
      <c r="D412" s="20"/>
      <c r="E412" s="10"/>
      <c r="F412" s="10"/>
      <c r="G412" s="10"/>
      <c r="H412" s="10"/>
      <c r="I412" s="10"/>
      <c r="J412" s="10"/>
      <c r="K412" s="10"/>
      <c r="L412" s="10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>
      <c r="A413" s="19"/>
      <c r="B413" s="12"/>
      <c r="C413" s="10"/>
      <c r="D413" s="20"/>
      <c r="E413" s="10"/>
      <c r="F413" s="10"/>
      <c r="G413" s="10"/>
      <c r="H413" s="10"/>
      <c r="I413" s="10"/>
      <c r="J413" s="10"/>
      <c r="K413" s="10"/>
      <c r="L413" s="10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>
      <c r="A414" s="19"/>
      <c r="B414" s="12"/>
      <c r="C414" s="10"/>
      <c r="D414" s="20"/>
      <c r="E414" s="10"/>
      <c r="F414" s="10"/>
      <c r="G414" s="10"/>
      <c r="H414" s="10"/>
      <c r="I414" s="10"/>
      <c r="J414" s="10"/>
      <c r="K414" s="10"/>
      <c r="L414" s="10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>
      <c r="A415" s="19"/>
      <c r="B415" s="12"/>
      <c r="C415" s="10"/>
      <c r="D415" s="20"/>
      <c r="E415" s="10"/>
      <c r="F415" s="10"/>
      <c r="G415" s="10"/>
      <c r="H415" s="10"/>
      <c r="I415" s="10"/>
      <c r="J415" s="10"/>
      <c r="K415" s="10"/>
      <c r="L415" s="10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>
      <c r="A416" s="19"/>
      <c r="B416" s="12"/>
      <c r="C416" s="10"/>
      <c r="D416" s="20"/>
      <c r="E416" s="10"/>
      <c r="F416" s="10"/>
      <c r="G416" s="10"/>
      <c r="H416" s="10"/>
      <c r="I416" s="10"/>
      <c r="J416" s="10"/>
      <c r="K416" s="10"/>
      <c r="L416" s="10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>
      <c r="A417" s="19"/>
      <c r="B417" s="12"/>
      <c r="C417" s="10"/>
      <c r="D417" s="20"/>
      <c r="E417" s="10"/>
      <c r="F417" s="10"/>
      <c r="G417" s="10"/>
      <c r="H417" s="10"/>
      <c r="I417" s="10"/>
      <c r="J417" s="10"/>
      <c r="K417" s="10"/>
      <c r="L417" s="10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>
      <c r="A418" s="19"/>
      <c r="B418" s="12"/>
      <c r="C418" s="10"/>
      <c r="D418" s="20"/>
      <c r="E418" s="10"/>
      <c r="F418" s="10"/>
      <c r="G418" s="10"/>
      <c r="H418" s="10"/>
      <c r="I418" s="10"/>
      <c r="J418" s="10"/>
      <c r="K418" s="10"/>
      <c r="L418" s="10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>
      <c r="A419" s="19"/>
      <c r="B419" s="12"/>
      <c r="C419" s="10"/>
      <c r="D419" s="20"/>
      <c r="E419" s="10"/>
      <c r="F419" s="10"/>
      <c r="G419" s="10"/>
      <c r="H419" s="10"/>
      <c r="I419" s="10"/>
      <c r="J419" s="10"/>
      <c r="K419" s="10"/>
      <c r="L419" s="10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>
      <c r="A420" s="19"/>
      <c r="B420" s="12"/>
      <c r="C420" s="10"/>
      <c r="D420" s="20"/>
      <c r="E420" s="10"/>
      <c r="F420" s="10"/>
      <c r="G420" s="10"/>
      <c r="H420" s="10"/>
      <c r="I420" s="10"/>
      <c r="J420" s="10"/>
      <c r="K420" s="10"/>
      <c r="L420" s="10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>
      <c r="A421" s="19"/>
      <c r="B421" s="12"/>
      <c r="C421" s="10"/>
      <c r="D421" s="20"/>
      <c r="E421" s="10"/>
      <c r="F421" s="10"/>
      <c r="G421" s="10"/>
      <c r="H421" s="10"/>
      <c r="I421" s="10"/>
      <c r="J421" s="10"/>
      <c r="K421" s="10"/>
      <c r="L421" s="10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>
      <c r="A422" s="19"/>
      <c r="B422" s="12"/>
      <c r="C422" s="10"/>
      <c r="D422" s="20"/>
      <c r="E422" s="10"/>
      <c r="F422" s="10"/>
      <c r="G422" s="10"/>
      <c r="H422" s="10"/>
      <c r="I422" s="10"/>
      <c r="J422" s="10"/>
      <c r="K422" s="10"/>
      <c r="L422" s="10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>
      <c r="A423" s="19"/>
      <c r="B423" s="12"/>
      <c r="C423" s="10"/>
      <c r="D423" s="20"/>
      <c r="E423" s="10"/>
      <c r="F423" s="10"/>
      <c r="G423" s="10"/>
      <c r="H423" s="10"/>
      <c r="I423" s="10"/>
      <c r="J423" s="10"/>
      <c r="K423" s="10"/>
      <c r="L423" s="10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>
      <c r="A424" s="19"/>
      <c r="B424" s="12"/>
      <c r="C424" s="10"/>
      <c r="D424" s="20"/>
      <c r="E424" s="10"/>
      <c r="F424" s="10"/>
      <c r="G424" s="10"/>
      <c r="H424" s="10"/>
      <c r="I424" s="10"/>
      <c r="J424" s="10"/>
      <c r="K424" s="10"/>
      <c r="L424" s="10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>
      <c r="A425" s="19"/>
      <c r="B425" s="12"/>
      <c r="C425" s="10"/>
      <c r="D425" s="20"/>
      <c r="E425" s="10"/>
      <c r="F425" s="10"/>
      <c r="G425" s="10"/>
      <c r="H425" s="10"/>
      <c r="I425" s="10"/>
      <c r="J425" s="10"/>
      <c r="K425" s="10"/>
      <c r="L425" s="10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>
      <c r="A426" s="19"/>
      <c r="B426" s="12"/>
      <c r="C426" s="10"/>
      <c r="D426" s="20"/>
      <c r="E426" s="10"/>
      <c r="F426" s="10"/>
      <c r="G426" s="10"/>
      <c r="H426" s="10"/>
      <c r="I426" s="10"/>
      <c r="J426" s="10"/>
      <c r="K426" s="10"/>
      <c r="L426" s="10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>
      <c r="A427" s="19"/>
      <c r="B427" s="12"/>
      <c r="C427" s="10"/>
      <c r="D427" s="20"/>
      <c r="E427" s="10"/>
      <c r="F427" s="10"/>
      <c r="G427" s="10"/>
      <c r="H427" s="10"/>
      <c r="I427" s="10"/>
      <c r="J427" s="10"/>
      <c r="K427" s="10"/>
      <c r="L427" s="10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>
      <c r="A428" s="19"/>
      <c r="B428" s="12"/>
      <c r="C428" s="10"/>
      <c r="D428" s="20"/>
      <c r="E428" s="10"/>
      <c r="F428" s="10"/>
      <c r="G428" s="10"/>
      <c r="H428" s="10"/>
      <c r="I428" s="10"/>
      <c r="J428" s="10"/>
      <c r="K428" s="10"/>
      <c r="L428" s="10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>
      <c r="A429" s="19"/>
      <c r="B429" s="12"/>
      <c r="C429" s="10"/>
      <c r="D429" s="20"/>
      <c r="E429" s="10"/>
      <c r="F429" s="10"/>
      <c r="G429" s="10"/>
      <c r="H429" s="10"/>
      <c r="I429" s="10"/>
      <c r="J429" s="10"/>
      <c r="K429" s="10"/>
      <c r="L429" s="10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>
      <c r="A430" s="19"/>
      <c r="B430" s="12"/>
      <c r="C430" s="10"/>
      <c r="D430" s="20"/>
      <c r="E430" s="10"/>
      <c r="F430" s="10"/>
      <c r="G430" s="10"/>
      <c r="H430" s="10"/>
      <c r="I430" s="10"/>
      <c r="J430" s="10"/>
      <c r="K430" s="10"/>
      <c r="L430" s="10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>
      <c r="A431" s="19"/>
      <c r="B431" s="12"/>
      <c r="C431" s="10"/>
      <c r="D431" s="20"/>
      <c r="E431" s="10"/>
      <c r="F431" s="10"/>
      <c r="G431" s="10"/>
      <c r="H431" s="10"/>
      <c r="I431" s="10"/>
      <c r="J431" s="10"/>
      <c r="K431" s="10"/>
      <c r="L431" s="10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>
      <c r="A432" s="19"/>
      <c r="B432" s="12"/>
      <c r="C432" s="10"/>
      <c r="D432" s="20"/>
      <c r="E432" s="10"/>
      <c r="F432" s="10"/>
      <c r="G432" s="10"/>
      <c r="H432" s="10"/>
      <c r="I432" s="10"/>
      <c r="J432" s="10"/>
      <c r="K432" s="10"/>
      <c r="L432" s="10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>
      <c r="A433" s="19"/>
      <c r="B433" s="12"/>
      <c r="C433" s="10"/>
      <c r="D433" s="20"/>
      <c r="E433" s="10"/>
      <c r="F433" s="10"/>
      <c r="G433" s="10"/>
      <c r="H433" s="10"/>
      <c r="I433" s="10"/>
      <c r="J433" s="10"/>
      <c r="K433" s="10"/>
      <c r="L433" s="10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>
      <c r="A434" s="19"/>
      <c r="B434" s="12"/>
      <c r="C434" s="10"/>
      <c r="D434" s="20"/>
      <c r="E434" s="10"/>
      <c r="F434" s="10"/>
      <c r="G434" s="10"/>
      <c r="H434" s="10"/>
      <c r="I434" s="10"/>
      <c r="J434" s="10"/>
      <c r="K434" s="10"/>
      <c r="L434" s="10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>
      <c r="A435" s="19"/>
      <c r="B435" s="12"/>
      <c r="C435" s="10"/>
      <c r="D435" s="20"/>
      <c r="E435" s="10"/>
      <c r="F435" s="10"/>
      <c r="G435" s="10"/>
      <c r="H435" s="10"/>
      <c r="I435" s="10"/>
      <c r="J435" s="10"/>
      <c r="K435" s="10"/>
      <c r="L435" s="10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>
      <c r="A436" s="19"/>
      <c r="B436" s="12"/>
      <c r="C436" s="10"/>
      <c r="D436" s="20"/>
      <c r="E436" s="10"/>
      <c r="F436" s="10"/>
      <c r="G436" s="10"/>
      <c r="H436" s="10"/>
      <c r="I436" s="10"/>
      <c r="J436" s="10"/>
      <c r="K436" s="10"/>
      <c r="L436" s="10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>
      <c r="A437" s="19"/>
      <c r="B437" s="12"/>
      <c r="C437" s="10"/>
      <c r="D437" s="20"/>
      <c r="E437" s="10"/>
      <c r="F437" s="10"/>
      <c r="G437" s="10"/>
      <c r="H437" s="10"/>
      <c r="I437" s="10"/>
      <c r="J437" s="10"/>
      <c r="K437" s="10"/>
      <c r="L437" s="10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>
      <c r="A438" s="19"/>
      <c r="B438" s="12"/>
      <c r="C438" s="10"/>
      <c r="D438" s="20"/>
      <c r="E438" s="10"/>
      <c r="F438" s="10"/>
      <c r="G438" s="10"/>
      <c r="H438" s="10"/>
      <c r="I438" s="10"/>
      <c r="J438" s="10"/>
      <c r="K438" s="10"/>
      <c r="L438" s="10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>
      <c r="A439" s="19"/>
      <c r="B439" s="12"/>
      <c r="C439" s="10"/>
      <c r="D439" s="20"/>
      <c r="E439" s="10"/>
      <c r="F439" s="10"/>
      <c r="G439" s="10"/>
      <c r="H439" s="10"/>
      <c r="I439" s="10"/>
      <c r="J439" s="10"/>
      <c r="K439" s="10"/>
      <c r="L439" s="10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>
      <c r="A440" s="19"/>
      <c r="B440" s="12"/>
      <c r="C440" s="10"/>
      <c r="D440" s="20"/>
      <c r="E440" s="10"/>
      <c r="F440" s="10"/>
      <c r="G440" s="10"/>
      <c r="H440" s="10"/>
      <c r="I440" s="10"/>
      <c r="J440" s="10"/>
      <c r="K440" s="10"/>
      <c r="L440" s="10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>
      <c r="A441" s="19"/>
      <c r="B441" s="12"/>
      <c r="C441" s="10"/>
      <c r="D441" s="20"/>
      <c r="E441" s="10"/>
      <c r="F441" s="10"/>
      <c r="G441" s="10"/>
      <c r="H441" s="10"/>
      <c r="I441" s="10"/>
      <c r="J441" s="10"/>
      <c r="K441" s="10"/>
      <c r="L441" s="10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>
      <c r="A442" s="19"/>
      <c r="B442" s="12"/>
      <c r="C442" s="10"/>
      <c r="D442" s="20"/>
      <c r="E442" s="10"/>
      <c r="F442" s="10"/>
      <c r="G442" s="10"/>
      <c r="H442" s="10"/>
      <c r="I442" s="10"/>
      <c r="J442" s="10"/>
      <c r="K442" s="10"/>
      <c r="L442" s="10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>
      <c r="A443" s="19"/>
      <c r="B443" s="12"/>
      <c r="C443" s="10"/>
      <c r="D443" s="20"/>
      <c r="E443" s="10"/>
      <c r="F443" s="10"/>
      <c r="G443" s="10"/>
      <c r="H443" s="10"/>
      <c r="I443" s="10"/>
      <c r="J443" s="10"/>
      <c r="K443" s="10"/>
      <c r="L443" s="10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>
      <c r="A444" s="19"/>
      <c r="B444" s="12"/>
      <c r="C444" s="10"/>
      <c r="D444" s="20"/>
      <c r="E444" s="10"/>
      <c r="F444" s="10"/>
      <c r="G444" s="10"/>
      <c r="H444" s="10"/>
      <c r="I444" s="10"/>
      <c r="J444" s="10"/>
      <c r="K444" s="10"/>
      <c r="L444" s="10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>
      <c r="A445" s="19"/>
      <c r="B445" s="12"/>
      <c r="C445" s="10"/>
      <c r="D445" s="20"/>
      <c r="E445" s="10"/>
      <c r="F445" s="10"/>
      <c r="G445" s="10"/>
      <c r="H445" s="10"/>
      <c r="I445" s="10"/>
      <c r="J445" s="10"/>
      <c r="K445" s="10"/>
      <c r="L445" s="10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>
      <c r="A446" s="19"/>
      <c r="B446" s="12"/>
      <c r="C446" s="10"/>
      <c r="D446" s="20"/>
      <c r="E446" s="10"/>
      <c r="F446" s="10"/>
      <c r="G446" s="10"/>
      <c r="H446" s="10"/>
      <c r="I446" s="10"/>
      <c r="J446" s="10"/>
      <c r="K446" s="10"/>
      <c r="L446" s="10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>
      <c r="A447" s="19"/>
      <c r="B447" s="12"/>
      <c r="C447" s="10"/>
      <c r="D447" s="20"/>
      <c r="E447" s="10"/>
      <c r="F447" s="10"/>
      <c r="G447" s="10"/>
      <c r="H447" s="10"/>
      <c r="I447" s="10"/>
      <c r="J447" s="10"/>
      <c r="K447" s="10"/>
      <c r="L447" s="10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>
      <c r="A448" s="19"/>
      <c r="B448" s="12"/>
      <c r="C448" s="10"/>
      <c r="D448" s="20"/>
      <c r="E448" s="10"/>
      <c r="F448" s="10"/>
      <c r="G448" s="10"/>
      <c r="H448" s="10"/>
      <c r="I448" s="10"/>
      <c r="J448" s="10"/>
      <c r="K448" s="10"/>
      <c r="L448" s="10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>
      <c r="A449" s="19"/>
      <c r="B449" s="12"/>
      <c r="C449" s="10"/>
      <c r="D449" s="20"/>
      <c r="E449" s="10"/>
      <c r="F449" s="10"/>
      <c r="G449" s="10"/>
      <c r="H449" s="10"/>
      <c r="I449" s="10"/>
      <c r="J449" s="10"/>
      <c r="K449" s="10"/>
      <c r="L449" s="10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>
      <c r="A450" s="19"/>
      <c r="B450" s="12"/>
      <c r="C450" s="10"/>
      <c r="D450" s="20"/>
      <c r="E450" s="10"/>
      <c r="F450" s="10"/>
      <c r="G450" s="10"/>
      <c r="H450" s="10"/>
      <c r="I450" s="10"/>
      <c r="J450" s="10"/>
      <c r="K450" s="10"/>
      <c r="L450" s="10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>
      <c r="A451" s="19"/>
      <c r="B451" s="12"/>
      <c r="C451" s="10"/>
      <c r="D451" s="20"/>
      <c r="E451" s="10"/>
      <c r="F451" s="10"/>
      <c r="G451" s="10"/>
      <c r="H451" s="10"/>
      <c r="I451" s="10"/>
      <c r="J451" s="10"/>
      <c r="K451" s="10"/>
      <c r="L451" s="10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>
      <c r="A452" s="19"/>
      <c r="B452" s="12"/>
      <c r="C452" s="10"/>
      <c r="D452" s="20"/>
      <c r="E452" s="10"/>
      <c r="F452" s="10"/>
      <c r="G452" s="10"/>
      <c r="H452" s="10"/>
      <c r="I452" s="10"/>
      <c r="J452" s="10"/>
      <c r="K452" s="10"/>
      <c r="L452" s="10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>
      <c r="A453" s="19"/>
      <c r="B453" s="12"/>
      <c r="C453" s="10"/>
      <c r="D453" s="20"/>
      <c r="E453" s="10"/>
      <c r="F453" s="10"/>
      <c r="G453" s="10"/>
      <c r="H453" s="10"/>
      <c r="I453" s="10"/>
      <c r="J453" s="10"/>
      <c r="K453" s="10"/>
      <c r="L453" s="10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>
      <c r="A454" s="19"/>
      <c r="B454" s="12"/>
      <c r="C454" s="10"/>
      <c r="D454" s="20"/>
      <c r="E454" s="10"/>
      <c r="F454" s="10"/>
      <c r="G454" s="10"/>
      <c r="H454" s="10"/>
      <c r="I454" s="10"/>
      <c r="J454" s="10"/>
      <c r="K454" s="10"/>
      <c r="L454" s="10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>
      <c r="A455" s="19"/>
      <c r="B455" s="12"/>
      <c r="C455" s="10"/>
      <c r="D455" s="20"/>
      <c r="E455" s="10"/>
      <c r="F455" s="10"/>
      <c r="G455" s="10"/>
      <c r="H455" s="10"/>
      <c r="I455" s="10"/>
      <c r="J455" s="10"/>
      <c r="K455" s="10"/>
      <c r="L455" s="10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>
      <c r="A456" s="19"/>
      <c r="B456" s="12"/>
      <c r="C456" s="10"/>
      <c r="D456" s="20"/>
      <c r="E456" s="10"/>
      <c r="F456" s="10"/>
      <c r="G456" s="10"/>
      <c r="H456" s="10"/>
      <c r="I456" s="10"/>
      <c r="J456" s="10"/>
      <c r="K456" s="10"/>
      <c r="L456" s="10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>
      <c r="A457" s="19"/>
      <c r="B457" s="12"/>
      <c r="C457" s="10"/>
      <c r="D457" s="20"/>
      <c r="E457" s="10"/>
      <c r="F457" s="10"/>
      <c r="G457" s="10"/>
      <c r="H457" s="10"/>
      <c r="I457" s="10"/>
      <c r="J457" s="10"/>
      <c r="K457" s="10"/>
      <c r="L457" s="10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>
      <c r="A458" s="19"/>
      <c r="B458" s="12"/>
      <c r="C458" s="10"/>
      <c r="D458" s="20"/>
      <c r="E458" s="10"/>
      <c r="F458" s="10"/>
      <c r="G458" s="10"/>
      <c r="H458" s="10"/>
      <c r="I458" s="10"/>
      <c r="J458" s="10"/>
      <c r="K458" s="10"/>
      <c r="L458" s="10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>
      <c r="A459" s="19"/>
      <c r="B459" s="12"/>
      <c r="C459" s="10"/>
      <c r="D459" s="20"/>
      <c r="E459" s="10"/>
      <c r="F459" s="10"/>
      <c r="G459" s="10"/>
      <c r="H459" s="10"/>
      <c r="I459" s="10"/>
      <c r="J459" s="10"/>
      <c r="K459" s="10"/>
      <c r="L459" s="10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>
      <c r="A460" s="19"/>
      <c r="B460" s="12"/>
      <c r="C460" s="10"/>
      <c r="D460" s="20"/>
      <c r="E460" s="10"/>
      <c r="F460" s="10"/>
      <c r="G460" s="10"/>
      <c r="H460" s="10"/>
      <c r="I460" s="10"/>
      <c r="J460" s="10"/>
      <c r="K460" s="10"/>
      <c r="L460" s="10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>
      <c r="A461" s="19"/>
      <c r="B461" s="12"/>
      <c r="C461" s="10"/>
      <c r="D461" s="20"/>
      <c r="E461" s="10"/>
      <c r="F461" s="10"/>
      <c r="G461" s="10"/>
      <c r="H461" s="10"/>
      <c r="I461" s="10"/>
      <c r="J461" s="10"/>
      <c r="K461" s="10"/>
      <c r="L461" s="10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>
      <c r="A462" s="19"/>
      <c r="B462" s="12"/>
      <c r="C462" s="10"/>
      <c r="D462" s="20"/>
      <c r="E462" s="10"/>
      <c r="F462" s="10"/>
      <c r="G462" s="10"/>
      <c r="H462" s="10"/>
      <c r="I462" s="10"/>
      <c r="J462" s="10"/>
      <c r="K462" s="10"/>
      <c r="L462" s="10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>
      <c r="A463" s="19"/>
      <c r="B463" s="12"/>
      <c r="C463" s="10"/>
      <c r="D463" s="20"/>
      <c r="E463" s="10"/>
      <c r="F463" s="10"/>
      <c r="G463" s="10"/>
      <c r="H463" s="10"/>
      <c r="I463" s="10"/>
      <c r="J463" s="10"/>
      <c r="K463" s="10"/>
      <c r="L463" s="10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>
      <c r="A464" s="19"/>
      <c r="B464" s="12"/>
      <c r="C464" s="10"/>
      <c r="D464" s="20"/>
      <c r="E464" s="10"/>
      <c r="F464" s="10"/>
      <c r="G464" s="10"/>
      <c r="H464" s="10"/>
      <c r="I464" s="10"/>
      <c r="J464" s="10"/>
      <c r="K464" s="10"/>
      <c r="L464" s="10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>
      <c r="A465" s="19"/>
      <c r="B465" s="12"/>
      <c r="C465" s="10"/>
      <c r="D465" s="20"/>
      <c r="E465" s="10"/>
      <c r="F465" s="10"/>
      <c r="G465" s="10"/>
      <c r="H465" s="10"/>
      <c r="I465" s="10"/>
      <c r="J465" s="10"/>
      <c r="K465" s="10"/>
      <c r="L465" s="10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>
      <c r="A466" s="19"/>
      <c r="B466" s="12"/>
      <c r="C466" s="10"/>
      <c r="D466" s="20"/>
      <c r="E466" s="10"/>
      <c r="F466" s="10"/>
      <c r="G466" s="10"/>
      <c r="H466" s="10"/>
      <c r="I466" s="10"/>
      <c r="J466" s="10"/>
      <c r="K466" s="10"/>
      <c r="L466" s="10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>
      <c r="A467" s="19"/>
      <c r="B467" s="12"/>
      <c r="C467" s="10"/>
      <c r="D467" s="20"/>
      <c r="E467" s="10"/>
      <c r="F467" s="10"/>
      <c r="G467" s="10"/>
      <c r="H467" s="10"/>
      <c r="I467" s="10"/>
      <c r="J467" s="10"/>
      <c r="K467" s="10"/>
      <c r="L467" s="10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>
      <c r="A468" s="19"/>
      <c r="B468" s="12"/>
      <c r="C468" s="10"/>
      <c r="D468" s="20"/>
      <c r="E468" s="10"/>
      <c r="F468" s="10"/>
      <c r="G468" s="10"/>
      <c r="H468" s="10"/>
      <c r="I468" s="10"/>
      <c r="J468" s="10"/>
      <c r="K468" s="10"/>
      <c r="L468" s="10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>
      <c r="A469" s="19"/>
      <c r="B469" s="12"/>
      <c r="C469" s="10"/>
      <c r="D469" s="20"/>
      <c r="E469" s="10"/>
      <c r="F469" s="10"/>
      <c r="G469" s="10"/>
      <c r="H469" s="10"/>
      <c r="I469" s="10"/>
      <c r="J469" s="10"/>
      <c r="K469" s="10"/>
      <c r="L469" s="10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>
      <c r="A470" s="19"/>
      <c r="B470" s="12"/>
      <c r="C470" s="10"/>
      <c r="D470" s="20"/>
      <c r="E470" s="10"/>
      <c r="F470" s="10"/>
      <c r="G470" s="10"/>
      <c r="H470" s="10"/>
      <c r="I470" s="10"/>
      <c r="J470" s="10"/>
      <c r="K470" s="10"/>
      <c r="L470" s="10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>
      <c r="A471" s="19"/>
      <c r="B471" s="12"/>
      <c r="C471" s="10"/>
      <c r="D471" s="20"/>
      <c r="E471" s="10"/>
      <c r="F471" s="10"/>
      <c r="G471" s="10"/>
      <c r="H471" s="10"/>
      <c r="I471" s="10"/>
      <c r="J471" s="10"/>
      <c r="K471" s="10"/>
      <c r="L471" s="10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>
      <c r="A472" s="19"/>
      <c r="B472" s="12"/>
      <c r="C472" s="10"/>
      <c r="D472" s="20"/>
      <c r="E472" s="10"/>
      <c r="F472" s="10"/>
      <c r="G472" s="10"/>
      <c r="H472" s="10"/>
      <c r="I472" s="10"/>
      <c r="J472" s="10"/>
      <c r="K472" s="10"/>
      <c r="L472" s="10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>
      <c r="A473" s="19"/>
      <c r="B473" s="12"/>
      <c r="C473" s="10"/>
      <c r="D473" s="20"/>
      <c r="E473" s="10"/>
      <c r="F473" s="10"/>
      <c r="G473" s="10"/>
      <c r="H473" s="10"/>
      <c r="I473" s="10"/>
      <c r="J473" s="10"/>
      <c r="K473" s="10"/>
      <c r="L473" s="10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>
      <c r="A474" s="19"/>
      <c r="B474" s="12"/>
      <c r="C474" s="10"/>
      <c r="D474" s="20"/>
      <c r="E474" s="10"/>
      <c r="F474" s="10"/>
      <c r="G474" s="10"/>
      <c r="H474" s="10"/>
      <c r="I474" s="10"/>
      <c r="J474" s="10"/>
      <c r="K474" s="10"/>
      <c r="L474" s="10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>
      <c r="A475" s="19"/>
      <c r="B475" s="12"/>
      <c r="C475" s="10"/>
      <c r="D475" s="20"/>
      <c r="E475" s="10"/>
      <c r="F475" s="10"/>
      <c r="G475" s="10"/>
      <c r="H475" s="10"/>
      <c r="I475" s="10"/>
      <c r="J475" s="10"/>
      <c r="K475" s="10"/>
      <c r="L475" s="10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>
      <c r="A476" s="19"/>
      <c r="B476" s="12"/>
      <c r="C476" s="10"/>
      <c r="D476" s="20"/>
      <c r="E476" s="10"/>
      <c r="F476" s="10"/>
      <c r="G476" s="10"/>
      <c r="H476" s="10"/>
      <c r="I476" s="10"/>
      <c r="J476" s="10"/>
      <c r="K476" s="10"/>
      <c r="L476" s="10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>
      <c r="A477" s="19"/>
      <c r="B477" s="12"/>
      <c r="C477" s="10"/>
      <c r="D477" s="20"/>
      <c r="E477" s="10"/>
      <c r="F477" s="10"/>
      <c r="G477" s="10"/>
      <c r="H477" s="10"/>
      <c r="I477" s="10"/>
      <c r="J477" s="10"/>
      <c r="K477" s="10"/>
      <c r="L477" s="10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>
      <c r="A478" s="19"/>
      <c r="B478" s="12"/>
      <c r="C478" s="10"/>
      <c r="D478" s="20"/>
      <c r="E478" s="10"/>
      <c r="F478" s="10"/>
      <c r="G478" s="10"/>
      <c r="H478" s="10"/>
      <c r="I478" s="10"/>
      <c r="J478" s="10"/>
      <c r="K478" s="10"/>
      <c r="L478" s="10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>
      <c r="A479" s="19"/>
      <c r="B479" s="12"/>
      <c r="C479" s="10"/>
      <c r="D479" s="20"/>
      <c r="E479" s="10"/>
      <c r="F479" s="10"/>
      <c r="G479" s="10"/>
      <c r="H479" s="10"/>
      <c r="I479" s="10"/>
      <c r="J479" s="10"/>
      <c r="K479" s="10"/>
      <c r="L479" s="10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>
      <c r="A480" s="19"/>
      <c r="B480" s="12"/>
      <c r="C480" s="10"/>
      <c r="D480" s="20"/>
      <c r="E480" s="10"/>
      <c r="F480" s="10"/>
      <c r="G480" s="10"/>
      <c r="H480" s="10"/>
      <c r="I480" s="10"/>
      <c r="J480" s="10"/>
      <c r="K480" s="10"/>
      <c r="L480" s="10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>
      <c r="A481" s="19"/>
      <c r="B481" s="12"/>
      <c r="C481" s="10"/>
      <c r="D481" s="20"/>
      <c r="E481" s="10"/>
      <c r="F481" s="10"/>
      <c r="G481" s="10"/>
      <c r="H481" s="10"/>
      <c r="I481" s="10"/>
      <c r="J481" s="10"/>
      <c r="K481" s="10"/>
      <c r="L481" s="10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>
      <c r="A482" s="19"/>
      <c r="B482" s="12"/>
      <c r="C482" s="10"/>
      <c r="D482" s="20"/>
      <c r="E482" s="10"/>
      <c r="F482" s="10"/>
      <c r="G482" s="10"/>
      <c r="H482" s="10"/>
      <c r="I482" s="10"/>
      <c r="J482" s="10"/>
      <c r="K482" s="10"/>
      <c r="L482" s="10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>
      <c r="A483" s="19"/>
      <c r="B483" s="12"/>
      <c r="C483" s="10"/>
      <c r="D483" s="20"/>
      <c r="E483" s="10"/>
      <c r="F483" s="10"/>
      <c r="G483" s="10"/>
      <c r="H483" s="10"/>
      <c r="I483" s="10"/>
      <c r="J483" s="10"/>
      <c r="K483" s="10"/>
      <c r="L483" s="10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>
      <c r="A484" s="19"/>
      <c r="B484" s="12"/>
      <c r="C484" s="10"/>
      <c r="D484" s="20"/>
      <c r="E484" s="10"/>
      <c r="F484" s="10"/>
      <c r="G484" s="10"/>
      <c r="H484" s="10"/>
      <c r="I484" s="10"/>
      <c r="J484" s="10"/>
      <c r="K484" s="10"/>
      <c r="L484" s="10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>
      <c r="A485" s="19"/>
      <c r="B485" s="12"/>
      <c r="C485" s="10"/>
      <c r="D485" s="20"/>
      <c r="E485" s="10"/>
      <c r="F485" s="10"/>
      <c r="G485" s="10"/>
      <c r="H485" s="10"/>
      <c r="I485" s="10"/>
      <c r="J485" s="10"/>
      <c r="K485" s="10"/>
      <c r="L485" s="10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>
      <c r="A486" s="19"/>
      <c r="B486" s="12"/>
      <c r="C486" s="10"/>
      <c r="D486" s="20"/>
      <c r="E486" s="10"/>
      <c r="F486" s="10"/>
      <c r="G486" s="10"/>
      <c r="H486" s="10"/>
      <c r="I486" s="10"/>
      <c r="J486" s="10"/>
      <c r="K486" s="10"/>
      <c r="L486" s="10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>
      <c r="A487" s="19"/>
      <c r="B487" s="12"/>
      <c r="C487" s="10"/>
      <c r="D487" s="20"/>
      <c r="E487" s="10"/>
      <c r="F487" s="10"/>
      <c r="G487" s="10"/>
      <c r="H487" s="10"/>
      <c r="I487" s="10"/>
      <c r="J487" s="10"/>
      <c r="K487" s="10"/>
      <c r="L487" s="10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>
      <c r="A488" s="19"/>
      <c r="B488" s="12"/>
      <c r="C488" s="10"/>
      <c r="D488" s="20"/>
      <c r="E488" s="10"/>
      <c r="F488" s="10"/>
      <c r="G488" s="10"/>
      <c r="H488" s="10"/>
      <c r="I488" s="10"/>
      <c r="J488" s="10"/>
      <c r="K488" s="10"/>
      <c r="L488" s="10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>
      <c r="A489" s="19"/>
      <c r="B489" s="12"/>
      <c r="C489" s="10"/>
      <c r="D489" s="20"/>
      <c r="E489" s="10"/>
      <c r="F489" s="10"/>
      <c r="G489" s="10"/>
      <c r="H489" s="10"/>
      <c r="I489" s="10"/>
      <c r="J489" s="10"/>
      <c r="K489" s="10"/>
      <c r="L489" s="10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>
      <c r="A490" s="19"/>
      <c r="B490" s="12"/>
      <c r="C490" s="10"/>
      <c r="D490" s="20"/>
      <c r="E490" s="10"/>
      <c r="F490" s="10"/>
      <c r="G490" s="10"/>
      <c r="H490" s="10"/>
      <c r="I490" s="10"/>
      <c r="J490" s="10"/>
      <c r="K490" s="10"/>
      <c r="L490" s="10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>
      <c r="A491" s="19"/>
      <c r="B491" s="12"/>
      <c r="C491" s="10"/>
      <c r="D491" s="20"/>
      <c r="E491" s="10"/>
      <c r="F491" s="10"/>
      <c r="G491" s="10"/>
      <c r="H491" s="10"/>
      <c r="I491" s="10"/>
      <c r="J491" s="10"/>
      <c r="K491" s="10"/>
      <c r="L491" s="10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>
      <c r="A492" s="19"/>
      <c r="B492" s="12"/>
      <c r="C492" s="10"/>
      <c r="D492" s="20"/>
      <c r="E492" s="10"/>
      <c r="F492" s="10"/>
      <c r="G492" s="10"/>
      <c r="H492" s="10"/>
      <c r="I492" s="10"/>
      <c r="J492" s="10"/>
      <c r="K492" s="10"/>
      <c r="L492" s="10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>
      <c r="A493" s="19"/>
      <c r="B493" s="12"/>
      <c r="C493" s="10"/>
      <c r="D493" s="20"/>
      <c r="E493" s="10"/>
      <c r="F493" s="10"/>
      <c r="G493" s="10"/>
      <c r="H493" s="10"/>
      <c r="I493" s="10"/>
      <c r="J493" s="10"/>
      <c r="K493" s="10"/>
      <c r="L493" s="10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>
      <c r="A494" s="19"/>
      <c r="B494" s="12"/>
      <c r="C494" s="10"/>
      <c r="D494" s="20"/>
      <c r="E494" s="10"/>
      <c r="F494" s="10"/>
      <c r="G494" s="10"/>
      <c r="H494" s="10"/>
      <c r="I494" s="10"/>
      <c r="J494" s="10"/>
      <c r="K494" s="10"/>
      <c r="L494" s="10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>
      <c r="A495" s="19"/>
      <c r="B495" s="12"/>
      <c r="C495" s="10"/>
      <c r="D495" s="20"/>
      <c r="E495" s="10"/>
      <c r="F495" s="10"/>
      <c r="G495" s="10"/>
      <c r="H495" s="10"/>
      <c r="I495" s="10"/>
      <c r="J495" s="10"/>
      <c r="K495" s="10"/>
      <c r="L495" s="10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>
      <c r="A496" s="19"/>
      <c r="B496" s="12"/>
      <c r="C496" s="10"/>
      <c r="D496" s="20"/>
      <c r="E496" s="10"/>
      <c r="F496" s="10"/>
      <c r="G496" s="10"/>
      <c r="H496" s="10"/>
      <c r="I496" s="10"/>
      <c r="J496" s="10"/>
      <c r="K496" s="10"/>
      <c r="L496" s="10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>
      <c r="A497" s="19"/>
      <c r="B497" s="12"/>
      <c r="C497" s="10"/>
      <c r="D497" s="20"/>
      <c r="E497" s="10"/>
      <c r="F497" s="10"/>
      <c r="G497" s="10"/>
      <c r="H497" s="10"/>
      <c r="I497" s="10"/>
      <c r="J497" s="10"/>
      <c r="K497" s="10"/>
      <c r="L497" s="10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>
      <c r="A498" s="19"/>
      <c r="B498" s="12"/>
      <c r="C498" s="10"/>
      <c r="D498" s="20"/>
      <c r="E498" s="10"/>
      <c r="F498" s="10"/>
      <c r="G498" s="10"/>
      <c r="H498" s="10"/>
      <c r="I498" s="10"/>
      <c r="J498" s="10"/>
      <c r="K498" s="10"/>
      <c r="L498" s="10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>
      <c r="A499" s="19"/>
      <c r="B499" s="12"/>
      <c r="C499" s="10"/>
      <c r="D499" s="20"/>
      <c r="E499" s="10"/>
      <c r="F499" s="10"/>
      <c r="G499" s="10"/>
      <c r="H499" s="10"/>
      <c r="I499" s="10"/>
      <c r="J499" s="10"/>
      <c r="K499" s="10"/>
      <c r="L499" s="10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>
      <c r="A500" s="19"/>
      <c r="B500" s="12"/>
      <c r="C500" s="10"/>
      <c r="D500" s="20"/>
      <c r="E500" s="10"/>
      <c r="F500" s="10"/>
      <c r="G500" s="10"/>
      <c r="H500" s="10"/>
      <c r="I500" s="10"/>
      <c r="J500" s="10"/>
      <c r="K500" s="10"/>
      <c r="L500" s="10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>
      <c r="A501" s="19"/>
      <c r="B501" s="12"/>
      <c r="C501" s="10"/>
      <c r="D501" s="20"/>
      <c r="E501" s="10"/>
      <c r="F501" s="10"/>
      <c r="G501" s="10"/>
      <c r="H501" s="10"/>
      <c r="I501" s="10"/>
      <c r="J501" s="10"/>
      <c r="K501" s="10"/>
      <c r="L501" s="10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>
      <c r="A502" s="19"/>
      <c r="B502" s="12"/>
      <c r="C502" s="10"/>
      <c r="D502" s="20"/>
      <c r="E502" s="10"/>
      <c r="F502" s="10"/>
      <c r="G502" s="10"/>
      <c r="H502" s="10"/>
      <c r="I502" s="10"/>
      <c r="J502" s="10"/>
      <c r="K502" s="10"/>
      <c r="L502" s="10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>
      <c r="A503" s="19"/>
      <c r="B503" s="12"/>
      <c r="C503" s="10"/>
      <c r="D503" s="20"/>
      <c r="E503" s="10"/>
      <c r="F503" s="10"/>
      <c r="G503" s="10"/>
      <c r="H503" s="10"/>
      <c r="I503" s="10"/>
      <c r="J503" s="10"/>
      <c r="K503" s="10"/>
      <c r="L503" s="10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>
      <c r="A504" s="19"/>
      <c r="B504" s="12"/>
      <c r="C504" s="10"/>
      <c r="D504" s="20"/>
      <c r="E504" s="10"/>
      <c r="F504" s="10"/>
      <c r="G504" s="10"/>
      <c r="H504" s="10"/>
      <c r="I504" s="10"/>
      <c r="J504" s="10"/>
      <c r="K504" s="10"/>
      <c r="L504" s="10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>
      <c r="A505" s="19"/>
      <c r="B505" s="12"/>
      <c r="C505" s="10"/>
      <c r="D505" s="20"/>
      <c r="E505" s="10"/>
      <c r="F505" s="10"/>
      <c r="G505" s="10"/>
      <c r="H505" s="10"/>
      <c r="I505" s="10"/>
      <c r="J505" s="10"/>
      <c r="K505" s="10"/>
      <c r="L505" s="10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>
      <c r="A506" s="19"/>
      <c r="B506" s="12"/>
      <c r="C506" s="10"/>
      <c r="D506" s="20"/>
      <c r="E506" s="10"/>
      <c r="F506" s="10"/>
      <c r="G506" s="10"/>
      <c r="H506" s="10"/>
      <c r="I506" s="10"/>
      <c r="J506" s="10"/>
      <c r="K506" s="10"/>
      <c r="L506" s="10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>
      <c r="A507" s="19"/>
      <c r="B507" s="12"/>
      <c r="C507" s="10"/>
      <c r="D507" s="20"/>
      <c r="E507" s="10"/>
      <c r="F507" s="10"/>
      <c r="G507" s="10"/>
      <c r="H507" s="10"/>
      <c r="I507" s="10"/>
      <c r="J507" s="10"/>
      <c r="K507" s="10"/>
      <c r="L507" s="10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>
      <c r="A508" s="19"/>
      <c r="B508" s="12"/>
      <c r="C508" s="10"/>
      <c r="D508" s="20"/>
      <c r="E508" s="10"/>
      <c r="F508" s="10"/>
      <c r="G508" s="10"/>
      <c r="H508" s="10"/>
      <c r="I508" s="10"/>
      <c r="J508" s="10"/>
      <c r="K508" s="10"/>
      <c r="L508" s="10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>
      <c r="A509" s="19"/>
      <c r="B509" s="12"/>
      <c r="C509" s="10"/>
      <c r="D509" s="20"/>
      <c r="E509" s="10"/>
      <c r="F509" s="10"/>
      <c r="G509" s="10"/>
      <c r="H509" s="10"/>
      <c r="I509" s="10"/>
      <c r="J509" s="10"/>
      <c r="K509" s="10"/>
      <c r="L509" s="10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>
      <c r="A510" s="19"/>
      <c r="B510" s="12"/>
      <c r="C510" s="10"/>
      <c r="D510" s="20"/>
      <c r="E510" s="10"/>
      <c r="F510" s="10"/>
      <c r="G510" s="10"/>
      <c r="H510" s="10"/>
      <c r="I510" s="10"/>
      <c r="J510" s="10"/>
      <c r="K510" s="10"/>
      <c r="L510" s="10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>
      <c r="A511" s="19"/>
      <c r="B511" s="12"/>
      <c r="C511" s="10"/>
      <c r="D511" s="20"/>
      <c r="E511" s="10"/>
      <c r="F511" s="10"/>
      <c r="G511" s="10"/>
      <c r="H511" s="10"/>
      <c r="I511" s="10"/>
      <c r="J511" s="10"/>
      <c r="K511" s="10"/>
      <c r="L511" s="10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>
      <c r="A512" s="19"/>
      <c r="B512" s="12"/>
      <c r="C512" s="10"/>
      <c r="D512" s="20"/>
      <c r="E512" s="10"/>
      <c r="F512" s="10"/>
      <c r="G512" s="10"/>
      <c r="H512" s="10"/>
      <c r="I512" s="10"/>
      <c r="J512" s="10"/>
      <c r="K512" s="10"/>
      <c r="L512" s="10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>
      <c r="A513" s="19"/>
      <c r="B513" s="12"/>
      <c r="C513" s="10"/>
      <c r="D513" s="20"/>
      <c r="E513" s="10"/>
      <c r="F513" s="10"/>
      <c r="G513" s="10"/>
      <c r="H513" s="10"/>
      <c r="I513" s="10"/>
      <c r="J513" s="10"/>
      <c r="K513" s="10"/>
      <c r="L513" s="10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>
      <c r="A514" s="19"/>
      <c r="B514" s="12"/>
      <c r="C514" s="10"/>
      <c r="D514" s="20"/>
      <c r="E514" s="10"/>
      <c r="F514" s="10"/>
      <c r="G514" s="10"/>
      <c r="H514" s="10"/>
      <c r="I514" s="10"/>
      <c r="J514" s="10"/>
      <c r="K514" s="10"/>
      <c r="L514" s="10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>
      <c r="A515" s="19"/>
      <c r="B515" s="12"/>
      <c r="C515" s="10"/>
      <c r="D515" s="20"/>
      <c r="E515" s="10"/>
      <c r="F515" s="10"/>
      <c r="G515" s="10"/>
      <c r="H515" s="10"/>
      <c r="I515" s="10"/>
      <c r="J515" s="10"/>
      <c r="K515" s="10"/>
      <c r="L515" s="10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>
      <c r="A516" s="19"/>
      <c r="B516" s="12"/>
      <c r="C516" s="10"/>
      <c r="D516" s="20"/>
      <c r="E516" s="10"/>
      <c r="F516" s="10"/>
      <c r="G516" s="10"/>
      <c r="H516" s="10"/>
      <c r="I516" s="10"/>
      <c r="J516" s="10"/>
      <c r="K516" s="10"/>
      <c r="L516" s="10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>
      <c r="A517" s="19"/>
      <c r="B517" s="12"/>
      <c r="C517" s="10"/>
      <c r="D517" s="20"/>
      <c r="E517" s="10"/>
      <c r="F517" s="10"/>
      <c r="G517" s="10"/>
      <c r="H517" s="10"/>
      <c r="I517" s="10"/>
      <c r="J517" s="10"/>
      <c r="K517" s="10"/>
      <c r="L517" s="10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>
      <c r="A518" s="19"/>
      <c r="B518" s="12"/>
      <c r="C518" s="10"/>
      <c r="D518" s="20"/>
      <c r="E518" s="10"/>
      <c r="F518" s="10"/>
      <c r="G518" s="10"/>
      <c r="H518" s="10"/>
      <c r="I518" s="10"/>
      <c r="J518" s="10"/>
      <c r="K518" s="10"/>
      <c r="L518" s="10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>
      <c r="A519" s="19"/>
      <c r="B519" s="12"/>
      <c r="C519" s="10"/>
      <c r="D519" s="20"/>
      <c r="E519" s="10"/>
      <c r="F519" s="10"/>
      <c r="G519" s="10"/>
      <c r="H519" s="10"/>
      <c r="I519" s="10"/>
      <c r="J519" s="10"/>
      <c r="K519" s="10"/>
      <c r="L519" s="10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>
      <c r="A520" s="19"/>
      <c r="B520" s="12"/>
      <c r="C520" s="10"/>
      <c r="D520" s="20"/>
      <c r="E520" s="10"/>
      <c r="F520" s="10"/>
      <c r="G520" s="10"/>
      <c r="H520" s="10"/>
      <c r="I520" s="10"/>
      <c r="J520" s="10"/>
      <c r="K520" s="10"/>
      <c r="L520" s="10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>
      <c r="A521" s="19"/>
      <c r="B521" s="12"/>
      <c r="C521" s="10"/>
      <c r="D521" s="20"/>
      <c r="E521" s="10"/>
      <c r="F521" s="10"/>
      <c r="G521" s="10"/>
      <c r="H521" s="10"/>
      <c r="I521" s="10"/>
      <c r="J521" s="10"/>
      <c r="K521" s="10"/>
      <c r="L521" s="10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>
      <c r="A522" s="19"/>
      <c r="B522" s="12"/>
      <c r="C522" s="10"/>
      <c r="D522" s="20"/>
      <c r="E522" s="10"/>
      <c r="F522" s="10"/>
      <c r="G522" s="10"/>
      <c r="H522" s="10"/>
      <c r="I522" s="10"/>
      <c r="J522" s="10"/>
      <c r="K522" s="10"/>
      <c r="L522" s="10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>
      <c r="A523" s="19"/>
      <c r="B523" s="12"/>
      <c r="C523" s="10"/>
      <c r="D523" s="20"/>
      <c r="E523" s="10"/>
      <c r="F523" s="10"/>
      <c r="G523" s="10"/>
      <c r="H523" s="10"/>
      <c r="I523" s="10"/>
      <c r="J523" s="10"/>
      <c r="K523" s="10"/>
      <c r="L523" s="10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>
      <c r="A524" s="19"/>
      <c r="B524" s="12"/>
      <c r="C524" s="10"/>
      <c r="D524" s="20"/>
      <c r="E524" s="10"/>
      <c r="F524" s="10"/>
      <c r="G524" s="10"/>
      <c r="H524" s="10"/>
      <c r="I524" s="10"/>
      <c r="J524" s="10"/>
      <c r="K524" s="10"/>
      <c r="L524" s="10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>
      <c r="A525" s="19"/>
      <c r="B525" s="12"/>
      <c r="C525" s="10"/>
      <c r="D525" s="20"/>
      <c r="E525" s="10"/>
      <c r="F525" s="10"/>
      <c r="G525" s="10"/>
      <c r="H525" s="10"/>
      <c r="I525" s="10"/>
      <c r="J525" s="10"/>
      <c r="K525" s="10"/>
      <c r="L525" s="10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>
      <c r="A526" s="19"/>
      <c r="B526" s="12"/>
      <c r="C526" s="10"/>
      <c r="D526" s="20"/>
      <c r="E526" s="10"/>
      <c r="F526" s="10"/>
      <c r="G526" s="10"/>
      <c r="H526" s="10"/>
      <c r="I526" s="10"/>
      <c r="J526" s="10"/>
      <c r="K526" s="10"/>
      <c r="L526" s="10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>
      <c r="A527" s="19"/>
      <c r="B527" s="12"/>
      <c r="C527" s="10"/>
      <c r="D527" s="20"/>
      <c r="E527" s="10"/>
      <c r="F527" s="10"/>
      <c r="G527" s="10"/>
      <c r="H527" s="10"/>
      <c r="I527" s="10"/>
      <c r="J527" s="10"/>
      <c r="K527" s="10"/>
      <c r="L527" s="10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>
      <c r="A528" s="19"/>
      <c r="B528" s="12"/>
      <c r="C528" s="10"/>
      <c r="D528" s="20"/>
      <c r="E528" s="10"/>
      <c r="F528" s="10"/>
      <c r="G528" s="10"/>
      <c r="H528" s="10"/>
      <c r="I528" s="10"/>
      <c r="J528" s="10"/>
      <c r="K528" s="10"/>
      <c r="L528" s="10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>
      <c r="A529" s="19"/>
      <c r="B529" s="12"/>
      <c r="C529" s="10"/>
      <c r="D529" s="20"/>
      <c r="E529" s="10"/>
      <c r="F529" s="10"/>
      <c r="G529" s="10"/>
      <c r="H529" s="10"/>
      <c r="I529" s="10"/>
      <c r="J529" s="10"/>
      <c r="K529" s="10"/>
      <c r="L529" s="10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>
      <c r="A530" s="19"/>
      <c r="B530" s="12"/>
      <c r="C530" s="10"/>
      <c r="D530" s="20"/>
      <c r="E530" s="10"/>
      <c r="F530" s="10"/>
      <c r="G530" s="10"/>
      <c r="H530" s="10"/>
      <c r="I530" s="10"/>
      <c r="J530" s="10"/>
      <c r="K530" s="10"/>
      <c r="L530" s="10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>
      <c r="A531" s="19"/>
      <c r="B531" s="12"/>
      <c r="C531" s="10"/>
      <c r="D531" s="20"/>
      <c r="E531" s="10"/>
      <c r="F531" s="10"/>
      <c r="G531" s="10"/>
      <c r="H531" s="10"/>
      <c r="I531" s="10"/>
      <c r="J531" s="10"/>
      <c r="K531" s="10"/>
      <c r="L531" s="10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>
      <c r="A532" s="19"/>
      <c r="B532" s="12"/>
      <c r="C532" s="10"/>
      <c r="D532" s="20"/>
      <c r="E532" s="10"/>
      <c r="F532" s="10"/>
      <c r="G532" s="10"/>
      <c r="H532" s="10"/>
      <c r="I532" s="10"/>
      <c r="J532" s="10"/>
      <c r="K532" s="10"/>
      <c r="L532" s="10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>
      <c r="A533" s="19"/>
      <c r="B533" s="12"/>
      <c r="C533" s="10"/>
      <c r="D533" s="20"/>
      <c r="E533" s="10"/>
      <c r="F533" s="10"/>
      <c r="G533" s="10"/>
      <c r="H533" s="10"/>
      <c r="I533" s="10"/>
      <c r="J533" s="10"/>
      <c r="K533" s="10"/>
      <c r="L533" s="10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>
      <c r="A534" s="19"/>
      <c r="B534" s="12"/>
      <c r="C534" s="10"/>
      <c r="D534" s="20"/>
      <c r="E534" s="10"/>
      <c r="F534" s="10"/>
      <c r="G534" s="10"/>
      <c r="H534" s="10"/>
      <c r="I534" s="10"/>
      <c r="J534" s="10"/>
      <c r="K534" s="10"/>
      <c r="L534" s="10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>
      <c r="A535" s="19"/>
      <c r="B535" s="12"/>
      <c r="C535" s="10"/>
      <c r="D535" s="20"/>
      <c r="E535" s="10"/>
      <c r="F535" s="10"/>
      <c r="G535" s="10"/>
      <c r="H535" s="10"/>
      <c r="I535" s="10"/>
      <c r="J535" s="10"/>
      <c r="K535" s="10"/>
      <c r="L535" s="10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>
      <c r="A536" s="19"/>
      <c r="B536" s="12"/>
      <c r="C536" s="10"/>
      <c r="D536" s="20"/>
      <c r="E536" s="10"/>
      <c r="F536" s="10"/>
      <c r="G536" s="10"/>
      <c r="H536" s="10"/>
      <c r="I536" s="10"/>
      <c r="J536" s="10"/>
      <c r="K536" s="10"/>
      <c r="L536" s="10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>
      <c r="A537" s="19"/>
      <c r="B537" s="12"/>
      <c r="C537" s="10"/>
      <c r="D537" s="20"/>
      <c r="E537" s="10"/>
      <c r="F537" s="10"/>
      <c r="G537" s="10"/>
      <c r="H537" s="10"/>
      <c r="I537" s="10"/>
      <c r="J537" s="10"/>
      <c r="K537" s="10"/>
      <c r="L537" s="10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>
      <c r="A538" s="19"/>
      <c r="B538" s="12"/>
      <c r="C538" s="10"/>
      <c r="D538" s="20"/>
      <c r="E538" s="10"/>
      <c r="F538" s="10"/>
      <c r="G538" s="10"/>
      <c r="H538" s="10"/>
      <c r="I538" s="10"/>
      <c r="J538" s="10"/>
      <c r="K538" s="10"/>
      <c r="L538" s="10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>
      <c r="A539" s="19"/>
      <c r="B539" s="12"/>
      <c r="C539" s="10"/>
      <c r="D539" s="20"/>
      <c r="E539" s="10"/>
      <c r="F539" s="10"/>
      <c r="G539" s="10"/>
      <c r="H539" s="10"/>
      <c r="I539" s="10"/>
      <c r="J539" s="10"/>
      <c r="K539" s="10"/>
      <c r="L539" s="10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>
      <c r="A540" s="19"/>
      <c r="B540" s="12"/>
      <c r="C540" s="10"/>
      <c r="D540" s="20"/>
      <c r="E540" s="10"/>
      <c r="F540" s="10"/>
      <c r="G540" s="10"/>
      <c r="H540" s="10"/>
      <c r="I540" s="10"/>
      <c r="J540" s="10"/>
      <c r="K540" s="10"/>
      <c r="L540" s="10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>
      <c r="A541" s="19"/>
      <c r="B541" s="12"/>
      <c r="C541" s="10"/>
      <c r="D541" s="20"/>
      <c r="E541" s="10"/>
      <c r="F541" s="10"/>
      <c r="G541" s="10"/>
      <c r="H541" s="10"/>
      <c r="I541" s="10"/>
      <c r="J541" s="10"/>
      <c r="K541" s="10"/>
      <c r="L541" s="10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>
      <c r="A542" s="19"/>
      <c r="B542" s="12"/>
      <c r="C542" s="10"/>
      <c r="D542" s="20"/>
      <c r="E542" s="10"/>
      <c r="F542" s="10"/>
      <c r="G542" s="10"/>
      <c r="H542" s="10"/>
      <c r="I542" s="10"/>
      <c r="J542" s="10"/>
      <c r="K542" s="10"/>
      <c r="L542" s="10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>
      <c r="A543" s="19"/>
      <c r="B543" s="12"/>
      <c r="C543" s="10"/>
      <c r="D543" s="20"/>
      <c r="E543" s="10"/>
      <c r="F543" s="10"/>
      <c r="G543" s="10"/>
      <c r="H543" s="10"/>
      <c r="I543" s="10"/>
      <c r="J543" s="10"/>
      <c r="K543" s="10"/>
      <c r="L543" s="10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>
      <c r="A544" s="19"/>
      <c r="B544" s="12"/>
      <c r="C544" s="10"/>
      <c r="D544" s="20"/>
      <c r="E544" s="10"/>
      <c r="F544" s="10"/>
      <c r="G544" s="10"/>
      <c r="H544" s="10"/>
      <c r="I544" s="10"/>
      <c r="J544" s="10"/>
      <c r="K544" s="10"/>
      <c r="L544" s="10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>
      <c r="A545" s="19"/>
      <c r="B545" s="12"/>
      <c r="C545" s="10"/>
      <c r="D545" s="20"/>
      <c r="E545" s="10"/>
      <c r="F545" s="10"/>
      <c r="G545" s="10"/>
      <c r="H545" s="10"/>
      <c r="I545" s="10"/>
      <c r="J545" s="10"/>
      <c r="K545" s="10"/>
      <c r="L545" s="10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>
      <c r="A546" s="19"/>
      <c r="B546" s="12"/>
      <c r="C546" s="10"/>
      <c r="D546" s="20"/>
      <c r="E546" s="10"/>
      <c r="F546" s="10"/>
      <c r="G546" s="10"/>
      <c r="H546" s="10"/>
      <c r="I546" s="10"/>
      <c r="J546" s="10"/>
      <c r="K546" s="10"/>
      <c r="L546" s="10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>
      <c r="A547" s="19"/>
      <c r="B547" s="12"/>
      <c r="C547" s="10"/>
      <c r="D547" s="20"/>
      <c r="E547" s="10"/>
      <c r="F547" s="10"/>
      <c r="G547" s="10"/>
      <c r="H547" s="10"/>
      <c r="I547" s="10"/>
      <c r="J547" s="10"/>
      <c r="K547" s="10"/>
      <c r="L547" s="10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>
      <c r="A548" s="19"/>
      <c r="B548" s="12"/>
      <c r="C548" s="10"/>
      <c r="D548" s="20"/>
      <c r="E548" s="10"/>
      <c r="F548" s="10"/>
      <c r="G548" s="10"/>
      <c r="H548" s="10"/>
      <c r="I548" s="10"/>
      <c r="J548" s="10"/>
      <c r="K548" s="10"/>
      <c r="L548" s="10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>
      <c r="A549" s="19"/>
      <c r="B549" s="12"/>
      <c r="C549" s="10"/>
      <c r="D549" s="20"/>
      <c r="E549" s="10"/>
      <c r="F549" s="10"/>
      <c r="G549" s="10"/>
      <c r="H549" s="10"/>
      <c r="I549" s="10"/>
      <c r="J549" s="10"/>
      <c r="K549" s="10"/>
      <c r="L549" s="10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>
      <c r="A550" s="19"/>
      <c r="B550" s="12"/>
      <c r="C550" s="10"/>
      <c r="D550" s="20"/>
      <c r="E550" s="10"/>
      <c r="F550" s="10"/>
      <c r="G550" s="10"/>
      <c r="H550" s="10"/>
      <c r="I550" s="10"/>
      <c r="J550" s="10"/>
      <c r="K550" s="10"/>
      <c r="L550" s="10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>
      <c r="A551" s="19"/>
      <c r="B551" s="12"/>
      <c r="C551" s="10"/>
      <c r="D551" s="20"/>
      <c r="E551" s="10"/>
      <c r="F551" s="10"/>
      <c r="G551" s="10"/>
      <c r="H551" s="10"/>
      <c r="I551" s="10"/>
      <c r="J551" s="10"/>
      <c r="K551" s="10"/>
      <c r="L551" s="10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>
      <c r="A552" s="19"/>
      <c r="B552" s="12"/>
      <c r="C552" s="10"/>
      <c r="D552" s="20"/>
      <c r="E552" s="10"/>
      <c r="F552" s="10"/>
      <c r="G552" s="10"/>
      <c r="H552" s="10"/>
      <c r="I552" s="10"/>
      <c r="J552" s="10"/>
      <c r="K552" s="10"/>
      <c r="L552" s="10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>
      <c r="A553" s="19"/>
      <c r="B553" s="12"/>
      <c r="C553" s="10"/>
      <c r="D553" s="20"/>
      <c r="E553" s="10"/>
      <c r="F553" s="10"/>
      <c r="G553" s="10"/>
      <c r="H553" s="10"/>
      <c r="I553" s="10"/>
      <c r="J553" s="10"/>
      <c r="K553" s="10"/>
      <c r="L553" s="10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>
      <c r="A554" s="19"/>
      <c r="B554" s="12"/>
      <c r="C554" s="10"/>
      <c r="D554" s="20"/>
      <c r="E554" s="10"/>
      <c r="F554" s="10"/>
      <c r="G554" s="10"/>
      <c r="H554" s="10"/>
      <c r="I554" s="10"/>
      <c r="J554" s="10"/>
      <c r="K554" s="10"/>
      <c r="L554" s="10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>
      <c r="A555" s="19"/>
      <c r="B555" s="12"/>
      <c r="C555" s="10"/>
      <c r="D555" s="20"/>
      <c r="E555" s="10"/>
      <c r="F555" s="10"/>
      <c r="G555" s="10"/>
      <c r="H555" s="10"/>
      <c r="I555" s="10"/>
      <c r="J555" s="10"/>
      <c r="K555" s="10"/>
      <c r="L555" s="10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>
      <c r="A556" s="19"/>
      <c r="B556" s="12"/>
      <c r="C556" s="10"/>
      <c r="D556" s="20"/>
      <c r="E556" s="10"/>
      <c r="F556" s="10"/>
      <c r="G556" s="10"/>
      <c r="H556" s="10"/>
      <c r="I556" s="10"/>
      <c r="J556" s="10"/>
      <c r="K556" s="10"/>
      <c r="L556" s="10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>
      <c r="A557" s="19"/>
      <c r="B557" s="12"/>
      <c r="C557" s="10"/>
      <c r="D557" s="20"/>
      <c r="E557" s="10"/>
      <c r="F557" s="10"/>
      <c r="G557" s="10"/>
      <c r="H557" s="10"/>
      <c r="I557" s="10"/>
      <c r="J557" s="10"/>
      <c r="K557" s="10"/>
      <c r="L557" s="10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>
      <c r="A558" s="19"/>
      <c r="B558" s="12"/>
      <c r="C558" s="10"/>
      <c r="D558" s="20"/>
      <c r="E558" s="10"/>
      <c r="F558" s="10"/>
      <c r="G558" s="10"/>
      <c r="H558" s="10"/>
      <c r="I558" s="10"/>
      <c r="J558" s="10"/>
      <c r="K558" s="10"/>
      <c r="L558" s="10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>
      <c r="A559" s="19"/>
      <c r="B559" s="12"/>
      <c r="C559" s="10"/>
      <c r="D559" s="20"/>
      <c r="E559" s="10"/>
      <c r="F559" s="10"/>
      <c r="G559" s="10"/>
      <c r="H559" s="10"/>
      <c r="I559" s="10"/>
      <c r="J559" s="10"/>
      <c r="K559" s="10"/>
      <c r="L559" s="10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>
      <c r="A560" s="19"/>
      <c r="B560" s="12"/>
      <c r="C560" s="10"/>
      <c r="D560" s="20"/>
      <c r="E560" s="10"/>
      <c r="F560" s="10"/>
      <c r="G560" s="10"/>
      <c r="H560" s="10"/>
      <c r="I560" s="10"/>
      <c r="J560" s="10"/>
      <c r="K560" s="10"/>
      <c r="L560" s="10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>
      <c r="A561" s="19"/>
      <c r="B561" s="12"/>
      <c r="C561" s="10"/>
      <c r="D561" s="20"/>
      <c r="E561" s="10"/>
      <c r="F561" s="10"/>
      <c r="G561" s="10"/>
      <c r="H561" s="10"/>
      <c r="I561" s="10"/>
      <c r="J561" s="10"/>
      <c r="K561" s="10"/>
      <c r="L561" s="10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>
      <c r="A562" s="19"/>
      <c r="B562" s="12"/>
      <c r="C562" s="10"/>
      <c r="D562" s="20"/>
      <c r="E562" s="10"/>
      <c r="F562" s="10"/>
      <c r="G562" s="10"/>
      <c r="H562" s="10"/>
      <c r="I562" s="10"/>
      <c r="J562" s="10"/>
      <c r="K562" s="10"/>
      <c r="L562" s="10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>
      <c r="A563" s="19"/>
      <c r="B563" s="12"/>
      <c r="C563" s="10"/>
      <c r="D563" s="20"/>
      <c r="E563" s="10"/>
      <c r="F563" s="10"/>
      <c r="G563" s="10"/>
      <c r="H563" s="10"/>
      <c r="I563" s="10"/>
      <c r="J563" s="10"/>
      <c r="K563" s="10"/>
      <c r="L563" s="10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>
      <c r="A564" s="19"/>
      <c r="B564" s="12"/>
      <c r="C564" s="10"/>
      <c r="D564" s="20"/>
      <c r="E564" s="10"/>
      <c r="F564" s="10"/>
      <c r="G564" s="10"/>
      <c r="H564" s="10"/>
      <c r="I564" s="10"/>
      <c r="J564" s="10"/>
      <c r="K564" s="10"/>
      <c r="L564" s="10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>
      <c r="A565" s="19"/>
      <c r="B565" s="12"/>
      <c r="C565" s="10"/>
      <c r="D565" s="20"/>
      <c r="E565" s="10"/>
      <c r="F565" s="10"/>
      <c r="G565" s="10"/>
      <c r="H565" s="10"/>
      <c r="I565" s="10"/>
      <c r="J565" s="10"/>
      <c r="K565" s="10"/>
      <c r="L565" s="10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>
      <c r="A566" s="19"/>
      <c r="B566" s="12"/>
      <c r="C566" s="10"/>
      <c r="D566" s="20"/>
      <c r="E566" s="10"/>
      <c r="F566" s="10"/>
      <c r="G566" s="10"/>
      <c r="H566" s="10"/>
      <c r="I566" s="10"/>
      <c r="J566" s="10"/>
      <c r="K566" s="10"/>
      <c r="L566" s="10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>
      <c r="A567" s="19"/>
      <c r="B567" s="12"/>
      <c r="C567" s="10"/>
      <c r="D567" s="20"/>
      <c r="E567" s="10"/>
      <c r="F567" s="10"/>
      <c r="G567" s="10"/>
      <c r="H567" s="10"/>
      <c r="I567" s="10"/>
      <c r="J567" s="10"/>
      <c r="K567" s="10"/>
      <c r="L567" s="10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>
      <c r="A568" s="19"/>
      <c r="B568" s="12"/>
      <c r="C568" s="10"/>
      <c r="D568" s="20"/>
      <c r="E568" s="10"/>
      <c r="F568" s="10"/>
      <c r="G568" s="10"/>
      <c r="H568" s="10"/>
      <c r="I568" s="10"/>
      <c r="J568" s="10"/>
      <c r="K568" s="10"/>
      <c r="L568" s="10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>
      <c r="A569" s="19"/>
      <c r="B569" s="12"/>
      <c r="C569" s="10"/>
      <c r="D569" s="20"/>
      <c r="E569" s="10"/>
      <c r="F569" s="10"/>
      <c r="G569" s="10"/>
      <c r="H569" s="10"/>
      <c r="I569" s="10"/>
      <c r="J569" s="10"/>
      <c r="K569" s="10"/>
      <c r="L569" s="10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>
      <c r="A570" s="19"/>
      <c r="B570" s="12"/>
      <c r="C570" s="10"/>
      <c r="D570" s="20"/>
      <c r="E570" s="10"/>
      <c r="F570" s="10"/>
      <c r="G570" s="10"/>
      <c r="H570" s="10"/>
      <c r="I570" s="10"/>
      <c r="J570" s="10"/>
      <c r="K570" s="10"/>
      <c r="L570" s="10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>
      <c r="A571" s="19"/>
      <c r="B571" s="12"/>
      <c r="C571" s="10"/>
      <c r="D571" s="20"/>
      <c r="E571" s="10"/>
      <c r="F571" s="10"/>
      <c r="G571" s="10"/>
      <c r="H571" s="10"/>
      <c r="I571" s="10"/>
      <c r="J571" s="10"/>
      <c r="K571" s="10"/>
      <c r="L571" s="10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>
      <c r="A572" s="19"/>
      <c r="B572" s="12"/>
      <c r="C572" s="10"/>
      <c r="D572" s="20"/>
      <c r="E572" s="10"/>
      <c r="F572" s="10"/>
      <c r="G572" s="10"/>
      <c r="H572" s="10"/>
      <c r="I572" s="10"/>
      <c r="J572" s="10"/>
      <c r="K572" s="10"/>
      <c r="L572" s="10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>
      <c r="A573" s="19"/>
      <c r="B573" s="12"/>
      <c r="C573" s="10"/>
      <c r="D573" s="20"/>
      <c r="E573" s="10"/>
      <c r="F573" s="10"/>
      <c r="G573" s="10"/>
      <c r="H573" s="10"/>
      <c r="I573" s="10"/>
      <c r="J573" s="10"/>
      <c r="K573" s="10"/>
      <c r="L573" s="10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>
      <c r="A574" s="19"/>
      <c r="B574" s="12"/>
      <c r="C574" s="10"/>
      <c r="D574" s="20"/>
      <c r="E574" s="10"/>
      <c r="F574" s="10"/>
      <c r="G574" s="10"/>
      <c r="H574" s="10"/>
      <c r="I574" s="10"/>
      <c r="J574" s="10"/>
      <c r="K574" s="10"/>
      <c r="L574" s="10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>
      <c r="A575" s="19"/>
      <c r="B575" s="12"/>
      <c r="C575" s="10"/>
      <c r="D575" s="20"/>
      <c r="E575" s="10"/>
      <c r="F575" s="10"/>
      <c r="G575" s="10"/>
      <c r="H575" s="10"/>
      <c r="I575" s="10"/>
      <c r="J575" s="10"/>
      <c r="K575" s="10"/>
      <c r="L575" s="10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>
      <c r="A576" s="19"/>
      <c r="B576" s="12"/>
      <c r="C576" s="10"/>
      <c r="D576" s="20"/>
      <c r="E576" s="10"/>
      <c r="F576" s="10"/>
      <c r="G576" s="10"/>
      <c r="H576" s="10"/>
      <c r="I576" s="10"/>
      <c r="J576" s="10"/>
      <c r="K576" s="10"/>
      <c r="L576" s="10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>
      <c r="A577" s="19"/>
      <c r="B577" s="12"/>
      <c r="C577" s="10"/>
      <c r="D577" s="20"/>
      <c r="E577" s="10"/>
      <c r="F577" s="10"/>
      <c r="G577" s="10"/>
      <c r="H577" s="10"/>
      <c r="I577" s="10"/>
      <c r="J577" s="10"/>
      <c r="K577" s="10"/>
      <c r="L577" s="10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>
      <c r="A578" s="19"/>
      <c r="B578" s="12"/>
      <c r="C578" s="10"/>
      <c r="D578" s="20"/>
      <c r="E578" s="10"/>
      <c r="F578" s="10"/>
      <c r="G578" s="10"/>
      <c r="H578" s="10"/>
      <c r="I578" s="10"/>
      <c r="J578" s="10"/>
      <c r="K578" s="10"/>
      <c r="L578" s="10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>
      <c r="A579" s="19"/>
      <c r="B579" s="12"/>
      <c r="C579" s="10"/>
      <c r="D579" s="20"/>
      <c r="E579" s="10"/>
      <c r="F579" s="10"/>
      <c r="G579" s="10"/>
      <c r="H579" s="10"/>
      <c r="I579" s="10"/>
      <c r="J579" s="10"/>
      <c r="K579" s="10"/>
      <c r="L579" s="10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>
      <c r="A580" s="19"/>
      <c r="B580" s="12"/>
      <c r="C580" s="10"/>
      <c r="D580" s="20"/>
      <c r="E580" s="10"/>
      <c r="F580" s="10"/>
      <c r="G580" s="10"/>
      <c r="H580" s="10"/>
      <c r="I580" s="10"/>
      <c r="J580" s="10"/>
      <c r="K580" s="10"/>
      <c r="L580" s="10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>
      <c r="A581" s="19"/>
      <c r="B581" s="12"/>
      <c r="C581" s="10"/>
      <c r="D581" s="20"/>
      <c r="E581" s="10"/>
      <c r="F581" s="10"/>
      <c r="G581" s="10"/>
      <c r="H581" s="10"/>
      <c r="I581" s="10"/>
      <c r="J581" s="10"/>
      <c r="K581" s="10"/>
      <c r="L581" s="10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>
      <c r="A582" s="19"/>
      <c r="B582" s="12"/>
      <c r="C582" s="10"/>
      <c r="D582" s="20"/>
      <c r="E582" s="10"/>
      <c r="F582" s="10"/>
      <c r="G582" s="10"/>
      <c r="H582" s="10"/>
      <c r="I582" s="10"/>
      <c r="J582" s="10"/>
      <c r="K582" s="10"/>
      <c r="L582" s="10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>
      <c r="A583" s="19"/>
      <c r="B583" s="12"/>
      <c r="C583" s="10"/>
      <c r="D583" s="20"/>
      <c r="E583" s="10"/>
      <c r="F583" s="10"/>
      <c r="G583" s="10"/>
      <c r="H583" s="10"/>
      <c r="I583" s="10"/>
      <c r="J583" s="10"/>
      <c r="K583" s="10"/>
      <c r="L583" s="10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>
      <c r="A584" s="19"/>
      <c r="B584" s="12"/>
      <c r="C584" s="10"/>
      <c r="D584" s="20"/>
      <c r="E584" s="10"/>
      <c r="F584" s="10"/>
      <c r="G584" s="10"/>
      <c r="H584" s="10"/>
      <c r="I584" s="10"/>
      <c r="J584" s="10"/>
      <c r="K584" s="10"/>
      <c r="L584" s="10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>
      <c r="A585" s="19"/>
      <c r="B585" s="12"/>
      <c r="C585" s="10"/>
      <c r="D585" s="20"/>
      <c r="E585" s="10"/>
      <c r="F585" s="10"/>
      <c r="G585" s="10"/>
      <c r="H585" s="10"/>
      <c r="I585" s="10"/>
      <c r="J585" s="10"/>
      <c r="K585" s="10"/>
      <c r="L585" s="10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>
      <c r="A586" s="19"/>
      <c r="B586" s="12"/>
      <c r="C586" s="10"/>
      <c r="D586" s="20"/>
      <c r="E586" s="10"/>
      <c r="F586" s="10"/>
      <c r="G586" s="10"/>
      <c r="H586" s="10"/>
      <c r="I586" s="10"/>
      <c r="J586" s="10"/>
      <c r="K586" s="10"/>
      <c r="L586" s="10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>
      <c r="A587" s="19"/>
      <c r="B587" s="12"/>
      <c r="C587" s="10"/>
      <c r="D587" s="20"/>
      <c r="E587" s="10"/>
      <c r="F587" s="10"/>
      <c r="G587" s="10"/>
      <c r="H587" s="10"/>
      <c r="I587" s="10"/>
      <c r="J587" s="10"/>
      <c r="K587" s="10"/>
      <c r="L587" s="10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>
      <c r="A588" s="19"/>
      <c r="B588" s="12"/>
      <c r="C588" s="10"/>
      <c r="D588" s="20"/>
      <c r="E588" s="10"/>
      <c r="F588" s="10"/>
      <c r="G588" s="10"/>
      <c r="H588" s="10"/>
      <c r="I588" s="10"/>
      <c r="J588" s="10"/>
      <c r="K588" s="10"/>
      <c r="L588" s="10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>
      <c r="A589" s="19"/>
      <c r="B589" s="12"/>
      <c r="C589" s="10"/>
      <c r="D589" s="20"/>
      <c r="E589" s="10"/>
      <c r="F589" s="10"/>
      <c r="G589" s="10"/>
      <c r="H589" s="10"/>
      <c r="I589" s="10"/>
      <c r="J589" s="10"/>
      <c r="K589" s="10"/>
      <c r="L589" s="10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>
      <c r="A590" s="19"/>
      <c r="B590" s="12"/>
      <c r="C590" s="10"/>
      <c r="D590" s="20"/>
      <c r="E590" s="10"/>
      <c r="F590" s="10"/>
      <c r="G590" s="10"/>
      <c r="H590" s="10"/>
      <c r="I590" s="10"/>
      <c r="J590" s="10"/>
      <c r="K590" s="10"/>
      <c r="L590" s="10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>
      <c r="A591" s="19"/>
      <c r="B591" s="12"/>
      <c r="C591" s="10"/>
      <c r="D591" s="20"/>
      <c r="E591" s="10"/>
      <c r="F591" s="10"/>
      <c r="G591" s="10"/>
      <c r="H591" s="10"/>
      <c r="I591" s="10"/>
      <c r="J591" s="10"/>
      <c r="K591" s="10"/>
      <c r="L591" s="10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>
      <c r="A592" s="19"/>
      <c r="B592" s="12"/>
      <c r="C592" s="10"/>
      <c r="D592" s="20"/>
      <c r="E592" s="10"/>
      <c r="F592" s="10"/>
      <c r="G592" s="10"/>
      <c r="H592" s="10"/>
      <c r="I592" s="10"/>
      <c r="J592" s="10"/>
      <c r="K592" s="10"/>
      <c r="L592" s="10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>
      <c r="A593" s="19"/>
      <c r="B593" s="12"/>
      <c r="C593" s="10"/>
      <c r="D593" s="20"/>
      <c r="E593" s="10"/>
      <c r="F593" s="10"/>
      <c r="G593" s="10"/>
      <c r="H593" s="10"/>
      <c r="I593" s="10"/>
      <c r="J593" s="10"/>
      <c r="K593" s="10"/>
      <c r="L593" s="10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>
      <c r="A594" s="19"/>
      <c r="B594" s="12"/>
      <c r="C594" s="10"/>
      <c r="D594" s="20"/>
      <c r="E594" s="10"/>
      <c r="F594" s="10"/>
      <c r="G594" s="10"/>
      <c r="H594" s="10"/>
      <c r="I594" s="10"/>
      <c r="J594" s="10"/>
      <c r="K594" s="10"/>
      <c r="L594" s="10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>
      <c r="A595" s="19"/>
      <c r="B595" s="12"/>
      <c r="C595" s="10"/>
      <c r="D595" s="20"/>
      <c r="E595" s="10"/>
      <c r="F595" s="10"/>
      <c r="G595" s="10"/>
      <c r="H595" s="10"/>
      <c r="I595" s="10"/>
      <c r="J595" s="10"/>
      <c r="K595" s="10"/>
      <c r="L595" s="10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>
      <c r="A596" s="19"/>
      <c r="B596" s="12"/>
      <c r="C596" s="10"/>
      <c r="D596" s="20"/>
      <c r="E596" s="10"/>
      <c r="F596" s="10"/>
      <c r="G596" s="10"/>
      <c r="H596" s="10"/>
      <c r="I596" s="10"/>
      <c r="J596" s="10"/>
      <c r="K596" s="10"/>
      <c r="L596" s="10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>
      <c r="A597" s="19"/>
      <c r="B597" s="12"/>
      <c r="C597" s="10"/>
      <c r="D597" s="20"/>
      <c r="E597" s="10"/>
      <c r="F597" s="10"/>
      <c r="G597" s="10"/>
      <c r="H597" s="10"/>
      <c r="I597" s="10"/>
      <c r="J597" s="10"/>
      <c r="K597" s="10"/>
      <c r="L597" s="10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>
      <c r="A598" s="19"/>
      <c r="B598" s="12"/>
      <c r="C598" s="10"/>
      <c r="D598" s="20"/>
      <c r="E598" s="10"/>
      <c r="F598" s="10"/>
      <c r="G598" s="10"/>
      <c r="H598" s="10"/>
      <c r="I598" s="10"/>
      <c r="J598" s="10"/>
      <c r="K598" s="10"/>
      <c r="L598" s="10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>
      <c r="A599" s="19"/>
      <c r="B599" s="12"/>
      <c r="C599" s="10"/>
      <c r="D599" s="20"/>
      <c r="E599" s="10"/>
      <c r="F599" s="10"/>
      <c r="G599" s="10"/>
      <c r="H599" s="10"/>
      <c r="I599" s="10"/>
      <c r="J599" s="10"/>
      <c r="K599" s="10"/>
      <c r="L599" s="10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>
      <c r="A600" s="19"/>
      <c r="B600" s="12"/>
      <c r="C600" s="10"/>
      <c r="D600" s="20"/>
      <c r="E600" s="10"/>
      <c r="F600" s="10"/>
      <c r="G600" s="10"/>
      <c r="H600" s="10"/>
      <c r="I600" s="10"/>
      <c r="J600" s="10"/>
      <c r="K600" s="10"/>
      <c r="L600" s="10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>
      <c r="A601" s="19"/>
      <c r="B601" s="12"/>
      <c r="C601" s="10"/>
      <c r="D601" s="20"/>
      <c r="E601" s="10"/>
      <c r="F601" s="10"/>
      <c r="G601" s="10"/>
      <c r="H601" s="10"/>
      <c r="I601" s="10"/>
      <c r="J601" s="10"/>
      <c r="K601" s="10"/>
      <c r="L601" s="10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>
      <c r="A602" s="19"/>
      <c r="B602" s="12"/>
      <c r="C602" s="10"/>
      <c r="D602" s="20"/>
      <c r="E602" s="10"/>
      <c r="F602" s="10"/>
      <c r="G602" s="10"/>
      <c r="H602" s="10"/>
      <c r="I602" s="10"/>
      <c r="J602" s="10"/>
      <c r="K602" s="10"/>
      <c r="L602" s="10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>
      <c r="A603" s="19"/>
      <c r="B603" s="12"/>
      <c r="C603" s="10"/>
      <c r="D603" s="20"/>
      <c r="E603" s="10"/>
      <c r="F603" s="10"/>
      <c r="G603" s="10"/>
      <c r="H603" s="10"/>
      <c r="I603" s="10"/>
      <c r="J603" s="10"/>
      <c r="K603" s="10"/>
      <c r="L603" s="10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>
      <c r="A604" s="19"/>
      <c r="B604" s="12"/>
      <c r="C604" s="10"/>
      <c r="D604" s="20"/>
      <c r="E604" s="10"/>
      <c r="F604" s="10"/>
      <c r="G604" s="10"/>
      <c r="H604" s="10"/>
      <c r="I604" s="10"/>
      <c r="J604" s="10"/>
      <c r="K604" s="10"/>
      <c r="L604" s="10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>
      <c r="A605" s="19"/>
      <c r="B605" s="12"/>
      <c r="C605" s="10"/>
      <c r="D605" s="20"/>
      <c r="E605" s="10"/>
      <c r="F605" s="10"/>
      <c r="G605" s="10"/>
      <c r="H605" s="10"/>
      <c r="I605" s="10"/>
      <c r="J605" s="10"/>
      <c r="K605" s="10"/>
      <c r="L605" s="10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>
      <c r="A606" s="19"/>
      <c r="B606" s="12"/>
      <c r="C606" s="10"/>
      <c r="D606" s="20"/>
      <c r="E606" s="10"/>
      <c r="F606" s="10"/>
      <c r="G606" s="10"/>
      <c r="H606" s="10"/>
      <c r="I606" s="10"/>
      <c r="J606" s="10"/>
      <c r="K606" s="10"/>
      <c r="L606" s="10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>
      <c r="A607" s="19"/>
      <c r="B607" s="12"/>
      <c r="C607" s="10"/>
      <c r="D607" s="20"/>
      <c r="E607" s="10"/>
      <c r="F607" s="10"/>
      <c r="G607" s="10"/>
      <c r="H607" s="10"/>
      <c r="I607" s="10"/>
      <c r="J607" s="10"/>
      <c r="K607" s="10"/>
      <c r="L607" s="10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>
      <c r="A608" s="19"/>
      <c r="B608" s="12"/>
      <c r="C608" s="10"/>
      <c r="D608" s="20"/>
      <c r="E608" s="10"/>
      <c r="F608" s="10"/>
      <c r="G608" s="10"/>
      <c r="H608" s="10"/>
      <c r="I608" s="10"/>
      <c r="J608" s="10"/>
      <c r="K608" s="10"/>
      <c r="L608" s="10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>
      <c r="A609" s="19"/>
      <c r="B609" s="12"/>
      <c r="C609" s="10"/>
      <c r="D609" s="20"/>
      <c r="E609" s="10"/>
      <c r="F609" s="10"/>
      <c r="G609" s="10"/>
      <c r="H609" s="10"/>
      <c r="I609" s="10"/>
      <c r="J609" s="10"/>
      <c r="K609" s="10"/>
      <c r="L609" s="10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>
      <c r="A610" s="19"/>
      <c r="B610" s="12"/>
      <c r="C610" s="10"/>
      <c r="D610" s="20"/>
      <c r="E610" s="10"/>
      <c r="F610" s="10"/>
      <c r="G610" s="10"/>
      <c r="H610" s="10"/>
      <c r="I610" s="10"/>
      <c r="J610" s="10"/>
      <c r="K610" s="10"/>
      <c r="L610" s="10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>
      <c r="A611" s="19"/>
      <c r="B611" s="12"/>
      <c r="C611" s="10"/>
      <c r="D611" s="20"/>
      <c r="E611" s="10"/>
      <c r="F611" s="10"/>
      <c r="G611" s="10"/>
      <c r="H611" s="10"/>
      <c r="I611" s="10"/>
      <c r="J611" s="10"/>
      <c r="K611" s="10"/>
      <c r="L611" s="10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>
      <c r="A612" s="19"/>
      <c r="B612" s="12"/>
      <c r="C612" s="10"/>
      <c r="D612" s="20"/>
      <c r="E612" s="10"/>
      <c r="F612" s="10"/>
      <c r="G612" s="10"/>
      <c r="H612" s="10"/>
      <c r="I612" s="10"/>
      <c r="J612" s="10"/>
      <c r="K612" s="10"/>
      <c r="L612" s="10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>
      <c r="A613" s="19"/>
      <c r="B613" s="12"/>
      <c r="C613" s="10"/>
      <c r="D613" s="20"/>
      <c r="E613" s="10"/>
      <c r="F613" s="10"/>
      <c r="G613" s="10"/>
      <c r="H613" s="10"/>
      <c r="I613" s="10"/>
      <c r="J613" s="10"/>
      <c r="K613" s="10"/>
      <c r="L613" s="10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>
      <c r="A614" s="19"/>
      <c r="B614" s="12"/>
      <c r="C614" s="10"/>
      <c r="D614" s="20"/>
      <c r="E614" s="10"/>
      <c r="F614" s="10"/>
      <c r="G614" s="10"/>
      <c r="H614" s="10"/>
      <c r="I614" s="10"/>
      <c r="J614" s="10"/>
      <c r="K614" s="10"/>
      <c r="L614" s="10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>
      <c r="A615" s="19"/>
      <c r="B615" s="12"/>
      <c r="C615" s="10"/>
      <c r="D615" s="20"/>
      <c r="E615" s="10"/>
      <c r="F615" s="10"/>
      <c r="G615" s="10"/>
      <c r="H615" s="10"/>
      <c r="I615" s="10"/>
      <c r="J615" s="10"/>
      <c r="K615" s="10"/>
      <c r="L615" s="10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>
      <c r="A616" s="19"/>
      <c r="B616" s="12"/>
      <c r="C616" s="10"/>
      <c r="D616" s="20"/>
      <c r="E616" s="10"/>
      <c r="F616" s="10"/>
      <c r="G616" s="10"/>
      <c r="H616" s="10"/>
      <c r="I616" s="10"/>
      <c r="J616" s="10"/>
      <c r="K616" s="10"/>
      <c r="L616" s="10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>
      <c r="A617" s="19"/>
      <c r="B617" s="12"/>
      <c r="C617" s="10"/>
      <c r="D617" s="20"/>
      <c r="E617" s="10"/>
      <c r="F617" s="10"/>
      <c r="G617" s="10"/>
      <c r="H617" s="10"/>
      <c r="I617" s="10"/>
      <c r="J617" s="10"/>
      <c r="K617" s="10"/>
      <c r="L617" s="10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>
      <c r="A618" s="19"/>
      <c r="B618" s="12"/>
      <c r="C618" s="10"/>
      <c r="D618" s="20"/>
      <c r="E618" s="10"/>
      <c r="F618" s="10"/>
      <c r="G618" s="10"/>
      <c r="H618" s="10"/>
      <c r="I618" s="10"/>
      <c r="J618" s="10"/>
      <c r="K618" s="10"/>
      <c r="L618" s="10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>
      <c r="A619" s="19"/>
      <c r="B619" s="12"/>
      <c r="C619" s="10"/>
      <c r="D619" s="20"/>
      <c r="E619" s="10"/>
      <c r="F619" s="10"/>
      <c r="G619" s="10"/>
      <c r="H619" s="10"/>
      <c r="I619" s="10"/>
      <c r="J619" s="10"/>
      <c r="K619" s="10"/>
      <c r="L619" s="10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>
      <c r="A620" s="19"/>
      <c r="B620" s="12"/>
      <c r="C620" s="10"/>
      <c r="D620" s="20"/>
      <c r="E620" s="10"/>
      <c r="F620" s="10"/>
      <c r="G620" s="10"/>
      <c r="H620" s="10"/>
      <c r="I620" s="10"/>
      <c r="J620" s="10"/>
      <c r="K620" s="10"/>
      <c r="L620" s="10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>
      <c r="A621" s="19"/>
      <c r="B621" s="12"/>
      <c r="C621" s="10"/>
      <c r="D621" s="20"/>
      <c r="E621" s="10"/>
      <c r="F621" s="10"/>
      <c r="G621" s="10"/>
      <c r="H621" s="10"/>
      <c r="I621" s="10"/>
      <c r="J621" s="10"/>
      <c r="K621" s="10"/>
      <c r="L621" s="10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>
      <c r="A622" s="19"/>
      <c r="B622" s="12"/>
      <c r="C622" s="10"/>
      <c r="D622" s="20"/>
      <c r="E622" s="10"/>
      <c r="F622" s="10"/>
      <c r="G622" s="10"/>
      <c r="H622" s="10"/>
      <c r="I622" s="10"/>
      <c r="J622" s="10"/>
      <c r="K622" s="10"/>
      <c r="L622" s="10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>
      <c r="A623" s="19"/>
      <c r="B623" s="12"/>
      <c r="C623" s="10"/>
      <c r="D623" s="20"/>
      <c r="E623" s="10"/>
      <c r="F623" s="10"/>
      <c r="G623" s="10"/>
      <c r="H623" s="10"/>
      <c r="I623" s="10"/>
      <c r="J623" s="10"/>
      <c r="K623" s="10"/>
      <c r="L623" s="10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>
      <c r="A624" s="19"/>
      <c r="B624" s="12"/>
      <c r="C624" s="10"/>
      <c r="D624" s="20"/>
      <c r="E624" s="10"/>
      <c r="F624" s="10"/>
      <c r="G624" s="10"/>
      <c r="H624" s="10"/>
      <c r="I624" s="10"/>
      <c r="J624" s="10"/>
      <c r="K624" s="10"/>
      <c r="L624" s="10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>
      <c r="A625" s="19"/>
      <c r="B625" s="12"/>
      <c r="C625" s="10"/>
      <c r="D625" s="20"/>
      <c r="E625" s="10"/>
      <c r="F625" s="10"/>
      <c r="G625" s="10"/>
      <c r="H625" s="10"/>
      <c r="I625" s="10"/>
      <c r="J625" s="10"/>
      <c r="K625" s="10"/>
      <c r="L625" s="10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>
      <c r="A626" s="19"/>
      <c r="B626" s="12"/>
      <c r="C626" s="10"/>
      <c r="D626" s="20"/>
      <c r="E626" s="10"/>
      <c r="F626" s="10"/>
      <c r="G626" s="10"/>
      <c r="H626" s="10"/>
      <c r="I626" s="10"/>
      <c r="J626" s="10"/>
      <c r="K626" s="10"/>
      <c r="L626" s="10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>
      <c r="A627" s="19"/>
      <c r="B627" s="12"/>
      <c r="C627" s="10"/>
      <c r="D627" s="20"/>
      <c r="E627" s="10"/>
      <c r="F627" s="10"/>
      <c r="G627" s="10"/>
      <c r="H627" s="10"/>
      <c r="I627" s="10"/>
      <c r="J627" s="10"/>
      <c r="K627" s="10"/>
      <c r="L627" s="10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>
      <c r="A628" s="19"/>
      <c r="B628" s="12"/>
      <c r="C628" s="10"/>
      <c r="D628" s="20"/>
      <c r="E628" s="10"/>
      <c r="F628" s="10"/>
      <c r="G628" s="10"/>
      <c r="H628" s="10"/>
      <c r="I628" s="10"/>
      <c r="J628" s="10"/>
      <c r="K628" s="10"/>
      <c r="L628" s="10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>
      <c r="A629" s="19"/>
      <c r="B629" s="12"/>
      <c r="C629" s="10"/>
      <c r="D629" s="20"/>
      <c r="E629" s="10"/>
      <c r="F629" s="10"/>
      <c r="G629" s="10"/>
      <c r="H629" s="10"/>
      <c r="I629" s="10"/>
      <c r="J629" s="10"/>
      <c r="K629" s="10"/>
      <c r="L629" s="10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>
      <c r="A630" s="19"/>
      <c r="B630" s="12"/>
      <c r="C630" s="10"/>
      <c r="D630" s="20"/>
      <c r="E630" s="10"/>
      <c r="F630" s="10"/>
      <c r="G630" s="10"/>
      <c r="H630" s="10"/>
      <c r="I630" s="10"/>
      <c r="J630" s="10"/>
      <c r="K630" s="10"/>
      <c r="L630" s="10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>
      <c r="A631" s="19"/>
      <c r="B631" s="12"/>
      <c r="C631" s="10"/>
      <c r="D631" s="20"/>
      <c r="E631" s="10"/>
      <c r="F631" s="10"/>
      <c r="G631" s="10"/>
      <c r="H631" s="10"/>
      <c r="I631" s="10"/>
      <c r="J631" s="10"/>
      <c r="K631" s="10"/>
      <c r="L631" s="10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>
      <c r="A632" s="19"/>
      <c r="B632" s="12"/>
      <c r="C632" s="10"/>
      <c r="D632" s="20"/>
      <c r="E632" s="10"/>
      <c r="F632" s="10"/>
      <c r="G632" s="10"/>
      <c r="H632" s="10"/>
      <c r="I632" s="10"/>
      <c r="J632" s="10"/>
      <c r="K632" s="10"/>
      <c r="L632" s="10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>
      <c r="A633" s="19"/>
      <c r="B633" s="12"/>
      <c r="C633" s="10"/>
      <c r="D633" s="20"/>
      <c r="E633" s="10"/>
      <c r="F633" s="10"/>
      <c r="G633" s="10"/>
      <c r="H633" s="10"/>
      <c r="I633" s="10"/>
      <c r="J633" s="10"/>
      <c r="K633" s="10"/>
      <c r="L633" s="10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>
      <c r="A634" s="19"/>
      <c r="B634" s="12"/>
      <c r="C634" s="10"/>
      <c r="D634" s="20"/>
      <c r="E634" s="10"/>
      <c r="F634" s="10"/>
      <c r="G634" s="10"/>
      <c r="H634" s="10"/>
      <c r="I634" s="10"/>
      <c r="J634" s="10"/>
      <c r="K634" s="10"/>
      <c r="L634" s="10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>
      <c r="A635" s="19"/>
      <c r="B635" s="12"/>
      <c r="C635" s="10"/>
      <c r="D635" s="20"/>
      <c r="E635" s="10"/>
      <c r="F635" s="10"/>
      <c r="G635" s="10"/>
      <c r="H635" s="10"/>
      <c r="I635" s="10"/>
      <c r="J635" s="10"/>
      <c r="K635" s="10"/>
      <c r="L635" s="10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>
      <c r="A636" s="19"/>
      <c r="B636" s="12"/>
      <c r="C636" s="10"/>
      <c r="D636" s="20"/>
      <c r="E636" s="10"/>
      <c r="F636" s="10"/>
      <c r="G636" s="10"/>
      <c r="H636" s="10"/>
      <c r="I636" s="10"/>
      <c r="J636" s="10"/>
      <c r="K636" s="10"/>
      <c r="L636" s="10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>
      <c r="A637" s="19"/>
      <c r="B637" s="12"/>
      <c r="C637" s="10"/>
      <c r="D637" s="20"/>
      <c r="E637" s="10"/>
      <c r="F637" s="10"/>
      <c r="G637" s="10"/>
      <c r="H637" s="10"/>
      <c r="I637" s="10"/>
      <c r="J637" s="10"/>
      <c r="K637" s="10"/>
      <c r="L637" s="10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>
      <c r="A638" s="19"/>
      <c r="B638" s="12"/>
      <c r="C638" s="10"/>
      <c r="D638" s="20"/>
      <c r="E638" s="10"/>
      <c r="F638" s="10"/>
      <c r="G638" s="10"/>
      <c r="H638" s="10"/>
      <c r="I638" s="10"/>
      <c r="J638" s="10"/>
      <c r="K638" s="10"/>
      <c r="L638" s="10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>
      <c r="A639" s="19"/>
      <c r="B639" s="12"/>
      <c r="C639" s="10"/>
      <c r="D639" s="20"/>
      <c r="E639" s="10"/>
      <c r="F639" s="10"/>
      <c r="G639" s="10"/>
      <c r="H639" s="10"/>
      <c r="I639" s="10"/>
      <c r="J639" s="10"/>
      <c r="K639" s="10"/>
      <c r="L639" s="10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>
      <c r="A640" s="19"/>
      <c r="B640" s="12"/>
      <c r="C640" s="10"/>
      <c r="D640" s="20"/>
      <c r="E640" s="10"/>
      <c r="F640" s="10"/>
      <c r="G640" s="10"/>
      <c r="H640" s="10"/>
      <c r="I640" s="10"/>
      <c r="J640" s="10"/>
      <c r="K640" s="10"/>
      <c r="L640" s="10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>
      <c r="A641" s="19"/>
      <c r="B641" s="12"/>
      <c r="C641" s="10"/>
      <c r="D641" s="20"/>
      <c r="E641" s="10"/>
      <c r="F641" s="10"/>
      <c r="G641" s="10"/>
      <c r="H641" s="10"/>
      <c r="I641" s="10"/>
      <c r="J641" s="10"/>
      <c r="K641" s="10"/>
      <c r="L641" s="10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>
      <c r="A642" s="19"/>
      <c r="B642" s="12"/>
      <c r="C642" s="10"/>
      <c r="D642" s="20"/>
      <c r="E642" s="10"/>
      <c r="F642" s="10"/>
      <c r="G642" s="10"/>
      <c r="H642" s="10"/>
      <c r="I642" s="10"/>
      <c r="J642" s="10"/>
      <c r="K642" s="10"/>
      <c r="L642" s="10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>
      <c r="A643" s="19"/>
      <c r="B643" s="12"/>
      <c r="C643" s="10"/>
      <c r="D643" s="20"/>
      <c r="E643" s="10"/>
      <c r="F643" s="10"/>
      <c r="G643" s="10"/>
      <c r="H643" s="10"/>
      <c r="I643" s="10"/>
      <c r="J643" s="10"/>
      <c r="K643" s="10"/>
      <c r="L643" s="10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>
      <c r="A644" s="19"/>
      <c r="B644" s="12"/>
      <c r="C644" s="10"/>
      <c r="D644" s="20"/>
      <c r="E644" s="10"/>
      <c r="F644" s="10"/>
      <c r="G644" s="10"/>
      <c r="H644" s="10"/>
      <c r="I644" s="10"/>
      <c r="J644" s="10"/>
      <c r="K644" s="10"/>
      <c r="L644" s="10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>
      <c r="A645" s="19"/>
      <c r="B645" s="12"/>
      <c r="C645" s="10"/>
      <c r="D645" s="20"/>
      <c r="E645" s="10"/>
      <c r="F645" s="10"/>
      <c r="G645" s="10"/>
      <c r="H645" s="10"/>
      <c r="I645" s="10"/>
      <c r="J645" s="10"/>
      <c r="K645" s="10"/>
      <c r="L645" s="10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>
      <c r="A646" s="19"/>
      <c r="B646" s="12"/>
      <c r="C646" s="10"/>
      <c r="D646" s="20"/>
      <c r="E646" s="10"/>
      <c r="F646" s="10"/>
      <c r="G646" s="10"/>
      <c r="H646" s="10"/>
      <c r="I646" s="10"/>
      <c r="J646" s="10"/>
      <c r="K646" s="10"/>
      <c r="L646" s="10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>
      <c r="A647" s="19"/>
      <c r="B647" s="12"/>
      <c r="C647" s="10"/>
      <c r="D647" s="20"/>
      <c r="E647" s="10"/>
      <c r="F647" s="10"/>
      <c r="G647" s="10"/>
      <c r="H647" s="10"/>
      <c r="I647" s="10"/>
      <c r="J647" s="10"/>
      <c r="K647" s="10"/>
      <c r="L647" s="10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>
      <c r="A648" s="19"/>
      <c r="B648" s="12"/>
      <c r="C648" s="10"/>
      <c r="D648" s="20"/>
      <c r="E648" s="10"/>
      <c r="F648" s="10"/>
      <c r="G648" s="10"/>
      <c r="H648" s="10"/>
      <c r="I648" s="10"/>
      <c r="J648" s="10"/>
      <c r="K648" s="10"/>
      <c r="L648" s="10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>
      <c r="A649" s="19"/>
      <c r="B649" s="12"/>
      <c r="C649" s="10"/>
      <c r="D649" s="20"/>
      <c r="E649" s="10"/>
      <c r="F649" s="10"/>
      <c r="G649" s="10"/>
      <c r="H649" s="10"/>
      <c r="I649" s="10"/>
      <c r="J649" s="10"/>
      <c r="K649" s="10"/>
      <c r="L649" s="10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>
      <c r="A650" s="19"/>
      <c r="B650" s="12"/>
      <c r="C650" s="10"/>
      <c r="D650" s="20"/>
      <c r="E650" s="10"/>
      <c r="F650" s="10"/>
      <c r="G650" s="10"/>
      <c r="H650" s="10"/>
      <c r="I650" s="10"/>
      <c r="J650" s="10"/>
      <c r="K650" s="10"/>
      <c r="L650" s="10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>
      <c r="A651" s="19"/>
      <c r="B651" s="12"/>
      <c r="C651" s="10"/>
      <c r="D651" s="20"/>
      <c r="E651" s="10"/>
      <c r="F651" s="10"/>
      <c r="G651" s="10"/>
      <c r="H651" s="10"/>
      <c r="I651" s="10"/>
      <c r="J651" s="10"/>
      <c r="K651" s="10"/>
      <c r="L651" s="10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>
      <c r="A652" s="19"/>
      <c r="B652" s="12"/>
      <c r="C652" s="10"/>
      <c r="D652" s="20"/>
      <c r="E652" s="10"/>
      <c r="F652" s="10"/>
      <c r="G652" s="10"/>
      <c r="H652" s="10"/>
      <c r="I652" s="10"/>
      <c r="J652" s="10"/>
      <c r="K652" s="10"/>
      <c r="L652" s="10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>
      <c r="A653" s="19"/>
      <c r="B653" s="12"/>
      <c r="C653" s="10"/>
      <c r="D653" s="20"/>
      <c r="E653" s="10"/>
      <c r="F653" s="10"/>
      <c r="G653" s="10"/>
      <c r="H653" s="10"/>
      <c r="I653" s="10"/>
      <c r="J653" s="10"/>
      <c r="K653" s="10"/>
      <c r="L653" s="10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>
      <c r="A654" s="19"/>
      <c r="B654" s="12"/>
      <c r="C654" s="10"/>
      <c r="D654" s="20"/>
      <c r="E654" s="10"/>
      <c r="F654" s="10"/>
      <c r="G654" s="10"/>
      <c r="H654" s="10"/>
      <c r="I654" s="10"/>
      <c r="J654" s="10"/>
      <c r="K654" s="10"/>
      <c r="L654" s="10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>
      <c r="A655" s="19"/>
      <c r="B655" s="12"/>
      <c r="C655" s="10"/>
      <c r="D655" s="20"/>
      <c r="E655" s="10"/>
      <c r="F655" s="10"/>
      <c r="G655" s="10"/>
      <c r="H655" s="10"/>
      <c r="I655" s="10"/>
      <c r="J655" s="10"/>
      <c r="K655" s="10"/>
      <c r="L655" s="10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>
      <c r="A656" s="19"/>
      <c r="B656" s="12"/>
      <c r="C656" s="10"/>
      <c r="D656" s="20"/>
      <c r="E656" s="10"/>
      <c r="F656" s="10"/>
      <c r="G656" s="10"/>
      <c r="H656" s="10"/>
      <c r="I656" s="10"/>
      <c r="J656" s="10"/>
      <c r="K656" s="10"/>
      <c r="L656" s="10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>
      <c r="A657" s="19"/>
      <c r="B657" s="12"/>
      <c r="C657" s="10"/>
      <c r="D657" s="20"/>
      <c r="E657" s="10"/>
      <c r="F657" s="10"/>
      <c r="G657" s="10"/>
      <c r="H657" s="10"/>
      <c r="I657" s="10"/>
      <c r="J657" s="10"/>
      <c r="K657" s="10"/>
      <c r="L657" s="10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>
      <c r="A658" s="19"/>
      <c r="B658" s="12"/>
      <c r="C658" s="10"/>
      <c r="D658" s="20"/>
      <c r="E658" s="10"/>
      <c r="F658" s="10"/>
      <c r="G658" s="10"/>
      <c r="H658" s="10"/>
      <c r="I658" s="10"/>
      <c r="J658" s="10"/>
      <c r="K658" s="10"/>
      <c r="L658" s="10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>
      <c r="A659" s="19"/>
      <c r="B659" s="12"/>
      <c r="C659" s="10"/>
      <c r="D659" s="20"/>
      <c r="E659" s="10"/>
      <c r="F659" s="10"/>
      <c r="G659" s="10"/>
      <c r="H659" s="10"/>
      <c r="I659" s="10"/>
      <c r="J659" s="10"/>
      <c r="K659" s="10"/>
      <c r="L659" s="10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>
      <c r="A660" s="19"/>
      <c r="B660" s="12"/>
      <c r="C660" s="10"/>
      <c r="D660" s="20"/>
      <c r="E660" s="10"/>
      <c r="F660" s="10"/>
      <c r="G660" s="10"/>
      <c r="H660" s="10"/>
      <c r="I660" s="10"/>
      <c r="J660" s="10"/>
      <c r="K660" s="10"/>
      <c r="L660" s="10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>
      <c r="A661" s="19"/>
      <c r="B661" s="12"/>
      <c r="C661" s="10"/>
      <c r="D661" s="20"/>
      <c r="E661" s="10"/>
      <c r="F661" s="10"/>
      <c r="G661" s="10"/>
      <c r="H661" s="10"/>
      <c r="I661" s="10"/>
      <c r="J661" s="10"/>
      <c r="K661" s="10"/>
      <c r="L661" s="10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>
      <c r="A662" s="19"/>
      <c r="B662" s="12"/>
      <c r="C662" s="10"/>
      <c r="D662" s="20"/>
      <c r="E662" s="10"/>
      <c r="F662" s="10"/>
      <c r="G662" s="10"/>
      <c r="H662" s="10"/>
      <c r="I662" s="10"/>
      <c r="J662" s="10"/>
      <c r="K662" s="10"/>
      <c r="L662" s="10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>
      <c r="A663" s="19"/>
      <c r="B663" s="12"/>
      <c r="C663" s="10"/>
      <c r="D663" s="20"/>
      <c r="E663" s="10"/>
      <c r="F663" s="10"/>
      <c r="G663" s="10"/>
      <c r="H663" s="10"/>
      <c r="I663" s="10"/>
      <c r="J663" s="10"/>
      <c r="K663" s="10"/>
      <c r="L663" s="10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>
      <c r="A664" s="19"/>
      <c r="B664" s="12"/>
      <c r="C664" s="10"/>
      <c r="D664" s="20"/>
      <c r="E664" s="10"/>
      <c r="F664" s="10"/>
      <c r="G664" s="10"/>
      <c r="H664" s="10"/>
      <c r="I664" s="10"/>
      <c r="J664" s="10"/>
      <c r="K664" s="10"/>
      <c r="L664" s="10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>
      <c r="A665" s="19"/>
      <c r="B665" s="12"/>
      <c r="C665" s="10"/>
      <c r="D665" s="20"/>
      <c r="E665" s="10"/>
      <c r="F665" s="10"/>
      <c r="G665" s="10"/>
      <c r="H665" s="10"/>
      <c r="I665" s="10"/>
      <c r="J665" s="10"/>
      <c r="K665" s="10"/>
      <c r="L665" s="10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>
      <c r="A666" s="19"/>
      <c r="B666" s="12"/>
      <c r="C666" s="10"/>
      <c r="D666" s="20"/>
      <c r="E666" s="10"/>
      <c r="F666" s="10"/>
      <c r="G666" s="10"/>
      <c r="H666" s="10"/>
      <c r="I666" s="10"/>
      <c r="J666" s="10"/>
      <c r="K666" s="10"/>
      <c r="L666" s="10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>
      <c r="A667" s="19"/>
      <c r="B667" s="12"/>
      <c r="C667" s="10"/>
      <c r="D667" s="20"/>
      <c r="E667" s="10"/>
      <c r="F667" s="10"/>
      <c r="G667" s="10"/>
      <c r="H667" s="10"/>
      <c r="I667" s="10"/>
      <c r="J667" s="10"/>
      <c r="K667" s="10"/>
      <c r="L667" s="10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>
      <c r="A668" s="19"/>
      <c r="B668" s="12"/>
      <c r="C668" s="10"/>
      <c r="D668" s="20"/>
      <c r="E668" s="10"/>
      <c r="F668" s="10"/>
      <c r="G668" s="10"/>
      <c r="H668" s="10"/>
      <c r="I668" s="10"/>
      <c r="J668" s="10"/>
      <c r="K668" s="10"/>
      <c r="L668" s="10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>
      <c r="A669" s="19"/>
      <c r="B669" s="12"/>
      <c r="C669" s="10"/>
      <c r="D669" s="20"/>
      <c r="E669" s="10"/>
      <c r="F669" s="10"/>
      <c r="G669" s="10"/>
      <c r="H669" s="10"/>
      <c r="I669" s="10"/>
      <c r="J669" s="10"/>
      <c r="K669" s="10"/>
      <c r="L669" s="10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>
      <c r="A670" s="19"/>
      <c r="B670" s="12"/>
      <c r="C670" s="10"/>
      <c r="D670" s="20"/>
      <c r="E670" s="10"/>
      <c r="F670" s="10"/>
      <c r="G670" s="10"/>
      <c r="H670" s="10"/>
      <c r="I670" s="10"/>
      <c r="J670" s="10"/>
      <c r="K670" s="10"/>
      <c r="L670" s="10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>
      <c r="A671" s="19"/>
      <c r="B671" s="12"/>
      <c r="C671" s="10"/>
      <c r="D671" s="20"/>
      <c r="E671" s="10"/>
      <c r="F671" s="10"/>
      <c r="G671" s="10"/>
      <c r="H671" s="10"/>
      <c r="I671" s="10"/>
      <c r="J671" s="10"/>
      <c r="K671" s="10"/>
      <c r="L671" s="10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>
      <c r="A672" s="19"/>
      <c r="B672" s="12"/>
      <c r="C672" s="10"/>
      <c r="D672" s="20"/>
      <c r="E672" s="10"/>
      <c r="F672" s="10"/>
      <c r="G672" s="10"/>
      <c r="H672" s="10"/>
      <c r="I672" s="10"/>
      <c r="J672" s="10"/>
      <c r="K672" s="10"/>
      <c r="L672" s="10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>
      <c r="A673" s="19"/>
      <c r="B673" s="12"/>
      <c r="C673" s="10"/>
      <c r="D673" s="20"/>
      <c r="E673" s="10"/>
      <c r="F673" s="10"/>
      <c r="G673" s="10"/>
      <c r="H673" s="10"/>
      <c r="I673" s="10"/>
      <c r="J673" s="10"/>
      <c r="K673" s="10"/>
      <c r="L673" s="10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>
      <c r="A674" s="19"/>
      <c r="B674" s="12"/>
      <c r="C674" s="10"/>
      <c r="D674" s="20"/>
      <c r="E674" s="10"/>
      <c r="F674" s="10"/>
      <c r="G674" s="10"/>
      <c r="H674" s="10"/>
      <c r="I674" s="10"/>
      <c r="J674" s="10"/>
      <c r="K674" s="10"/>
      <c r="L674" s="10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>
      <c r="A675" s="19"/>
      <c r="B675" s="12"/>
      <c r="C675" s="10"/>
      <c r="D675" s="20"/>
      <c r="E675" s="10"/>
      <c r="F675" s="10"/>
      <c r="G675" s="10"/>
      <c r="H675" s="10"/>
      <c r="I675" s="10"/>
      <c r="J675" s="10"/>
      <c r="K675" s="10"/>
      <c r="L675" s="10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>
      <c r="A676" s="19"/>
      <c r="B676" s="12"/>
      <c r="C676" s="10"/>
      <c r="D676" s="20"/>
      <c r="E676" s="10"/>
      <c r="F676" s="10"/>
      <c r="G676" s="10"/>
      <c r="H676" s="10"/>
      <c r="I676" s="10"/>
      <c r="J676" s="10"/>
      <c r="K676" s="10"/>
      <c r="L676" s="10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>
      <c r="A677" s="19"/>
      <c r="B677" s="12"/>
      <c r="C677" s="10"/>
      <c r="D677" s="20"/>
      <c r="E677" s="10"/>
      <c r="F677" s="10"/>
      <c r="G677" s="10"/>
      <c r="H677" s="10"/>
      <c r="I677" s="10"/>
      <c r="J677" s="10"/>
      <c r="K677" s="10"/>
      <c r="L677" s="10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>
      <c r="A678" s="19"/>
      <c r="B678" s="12"/>
      <c r="C678" s="10"/>
      <c r="D678" s="20"/>
      <c r="E678" s="10"/>
      <c r="F678" s="10"/>
      <c r="G678" s="10"/>
      <c r="H678" s="10"/>
      <c r="I678" s="10"/>
      <c r="J678" s="10"/>
      <c r="K678" s="10"/>
      <c r="L678" s="10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>
      <c r="A679" s="19"/>
      <c r="B679" s="12"/>
      <c r="C679" s="10"/>
      <c r="D679" s="20"/>
      <c r="E679" s="10"/>
      <c r="F679" s="10"/>
      <c r="G679" s="10"/>
      <c r="H679" s="10"/>
      <c r="I679" s="10"/>
      <c r="J679" s="10"/>
      <c r="K679" s="10"/>
      <c r="L679" s="10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>
      <c r="A680" s="19"/>
      <c r="B680" s="12"/>
      <c r="C680" s="10"/>
      <c r="D680" s="20"/>
      <c r="E680" s="10"/>
      <c r="F680" s="10"/>
      <c r="G680" s="10"/>
      <c r="H680" s="10"/>
      <c r="I680" s="10"/>
      <c r="J680" s="10"/>
      <c r="K680" s="10"/>
      <c r="L680" s="10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>
      <c r="A681" s="19"/>
      <c r="B681" s="12"/>
      <c r="C681" s="10"/>
      <c r="D681" s="20"/>
      <c r="E681" s="10"/>
      <c r="F681" s="10"/>
      <c r="G681" s="10"/>
      <c r="H681" s="10"/>
      <c r="I681" s="10"/>
      <c r="J681" s="10"/>
      <c r="K681" s="10"/>
      <c r="L681" s="10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>
      <c r="A682" s="19"/>
      <c r="B682" s="12"/>
      <c r="C682" s="10"/>
      <c r="D682" s="20"/>
      <c r="E682" s="10"/>
      <c r="F682" s="10"/>
      <c r="G682" s="10"/>
      <c r="H682" s="10"/>
      <c r="I682" s="10"/>
      <c r="J682" s="10"/>
      <c r="K682" s="10"/>
      <c r="L682" s="10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>
      <c r="A683" s="19"/>
      <c r="B683" s="12"/>
      <c r="C683" s="10"/>
      <c r="D683" s="20"/>
      <c r="E683" s="10"/>
      <c r="F683" s="10"/>
      <c r="G683" s="10"/>
      <c r="H683" s="10"/>
      <c r="I683" s="10"/>
      <c r="J683" s="10"/>
      <c r="K683" s="10"/>
      <c r="L683" s="10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>
      <c r="A684" s="19"/>
      <c r="B684" s="12"/>
      <c r="C684" s="10"/>
      <c r="D684" s="20"/>
      <c r="E684" s="10"/>
      <c r="F684" s="10"/>
      <c r="G684" s="10"/>
      <c r="H684" s="10"/>
      <c r="I684" s="10"/>
      <c r="J684" s="10"/>
      <c r="K684" s="10"/>
      <c r="L684" s="10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>
      <c r="A685" s="19"/>
      <c r="B685" s="12"/>
      <c r="C685" s="10"/>
      <c r="D685" s="20"/>
      <c r="E685" s="10"/>
      <c r="F685" s="10"/>
      <c r="G685" s="10"/>
      <c r="H685" s="10"/>
      <c r="I685" s="10"/>
      <c r="J685" s="10"/>
      <c r="K685" s="10"/>
      <c r="L685" s="10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>
      <c r="A686" s="19"/>
      <c r="B686" s="12"/>
      <c r="C686" s="10"/>
      <c r="D686" s="20"/>
      <c r="E686" s="10"/>
      <c r="F686" s="10"/>
      <c r="G686" s="10"/>
      <c r="H686" s="10"/>
      <c r="I686" s="10"/>
      <c r="J686" s="10"/>
      <c r="K686" s="10"/>
      <c r="L686" s="10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>
      <c r="A687" s="19"/>
      <c r="B687" s="12"/>
      <c r="C687" s="10"/>
      <c r="D687" s="20"/>
      <c r="E687" s="10"/>
      <c r="F687" s="10"/>
      <c r="G687" s="10"/>
      <c r="H687" s="10"/>
      <c r="I687" s="10"/>
      <c r="J687" s="10"/>
      <c r="K687" s="10"/>
      <c r="L687" s="10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>
      <c r="A688" s="19"/>
      <c r="B688" s="12"/>
      <c r="C688" s="10"/>
      <c r="D688" s="20"/>
      <c r="E688" s="10"/>
      <c r="F688" s="10"/>
      <c r="G688" s="10"/>
      <c r="H688" s="10"/>
      <c r="I688" s="10"/>
      <c r="J688" s="10"/>
      <c r="K688" s="10"/>
      <c r="L688" s="10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>
      <c r="A689" s="19"/>
      <c r="B689" s="12"/>
      <c r="C689" s="10"/>
      <c r="D689" s="20"/>
      <c r="E689" s="10"/>
      <c r="F689" s="10"/>
      <c r="G689" s="10"/>
      <c r="H689" s="10"/>
      <c r="I689" s="10"/>
      <c r="J689" s="10"/>
      <c r="K689" s="10"/>
      <c r="L689" s="10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>
      <c r="A690" s="19"/>
      <c r="B690" s="12"/>
      <c r="C690" s="10"/>
      <c r="D690" s="20"/>
      <c r="E690" s="10"/>
      <c r="F690" s="10"/>
      <c r="G690" s="10"/>
      <c r="H690" s="10"/>
      <c r="I690" s="10"/>
      <c r="J690" s="10"/>
      <c r="K690" s="10"/>
      <c r="L690" s="10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>
      <c r="A691" s="19"/>
      <c r="B691" s="12"/>
      <c r="C691" s="10"/>
      <c r="D691" s="20"/>
      <c r="E691" s="10"/>
      <c r="F691" s="10"/>
      <c r="G691" s="10"/>
      <c r="H691" s="10"/>
      <c r="I691" s="10"/>
      <c r="J691" s="10"/>
      <c r="K691" s="10"/>
      <c r="L691" s="10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>
      <c r="A692" s="19"/>
      <c r="B692" s="12"/>
      <c r="C692" s="10"/>
      <c r="D692" s="20"/>
      <c r="E692" s="10"/>
      <c r="F692" s="10"/>
      <c r="G692" s="10"/>
      <c r="H692" s="10"/>
      <c r="I692" s="10"/>
      <c r="J692" s="10"/>
      <c r="K692" s="10"/>
      <c r="L692" s="10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>
      <c r="A693" s="19"/>
      <c r="B693" s="12"/>
      <c r="C693" s="10"/>
      <c r="D693" s="20"/>
      <c r="E693" s="10"/>
      <c r="F693" s="10"/>
      <c r="G693" s="10"/>
      <c r="H693" s="10"/>
      <c r="I693" s="10"/>
      <c r="J693" s="10"/>
      <c r="K693" s="10"/>
      <c r="L693" s="10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>
      <c r="A694" s="19"/>
      <c r="B694" s="12"/>
      <c r="C694" s="10"/>
      <c r="D694" s="20"/>
      <c r="E694" s="10"/>
      <c r="F694" s="10"/>
      <c r="G694" s="10"/>
      <c r="H694" s="10"/>
      <c r="I694" s="10"/>
      <c r="J694" s="10"/>
      <c r="K694" s="10"/>
      <c r="L694" s="10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>
      <c r="A695" s="19"/>
      <c r="B695" s="12"/>
      <c r="C695" s="10"/>
      <c r="D695" s="20"/>
      <c r="E695" s="10"/>
      <c r="F695" s="10"/>
      <c r="G695" s="10"/>
      <c r="H695" s="10"/>
      <c r="I695" s="10"/>
      <c r="J695" s="10"/>
      <c r="K695" s="10"/>
      <c r="L695" s="10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>
      <c r="A696" s="19"/>
      <c r="B696" s="12"/>
      <c r="C696" s="10"/>
      <c r="D696" s="20"/>
      <c r="E696" s="10"/>
      <c r="F696" s="10"/>
      <c r="G696" s="10"/>
      <c r="H696" s="10"/>
      <c r="I696" s="10"/>
      <c r="J696" s="10"/>
      <c r="K696" s="10"/>
      <c r="L696" s="10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>
      <c r="A697" s="19"/>
      <c r="B697" s="12"/>
      <c r="C697" s="10"/>
      <c r="D697" s="20"/>
      <c r="E697" s="10"/>
      <c r="F697" s="10"/>
      <c r="G697" s="10"/>
      <c r="H697" s="10"/>
      <c r="I697" s="10"/>
      <c r="J697" s="10"/>
      <c r="K697" s="10"/>
      <c r="L697" s="10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>
      <c r="A698" s="19"/>
      <c r="B698" s="12"/>
      <c r="C698" s="10"/>
      <c r="D698" s="20"/>
      <c r="E698" s="10"/>
      <c r="F698" s="10"/>
      <c r="G698" s="10"/>
      <c r="H698" s="10"/>
      <c r="I698" s="10"/>
      <c r="J698" s="10"/>
      <c r="K698" s="10"/>
      <c r="L698" s="10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>
      <c r="A699" s="19"/>
      <c r="B699" s="12"/>
      <c r="C699" s="10"/>
      <c r="D699" s="20"/>
      <c r="E699" s="10"/>
      <c r="F699" s="10"/>
      <c r="G699" s="10"/>
      <c r="H699" s="10"/>
      <c r="I699" s="10"/>
      <c r="J699" s="10"/>
      <c r="K699" s="10"/>
      <c r="L699" s="10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>
      <c r="A700" s="19"/>
      <c r="B700" s="12"/>
      <c r="C700" s="10"/>
      <c r="D700" s="20"/>
      <c r="E700" s="10"/>
      <c r="F700" s="10"/>
      <c r="G700" s="10"/>
      <c r="H700" s="10"/>
      <c r="I700" s="10"/>
      <c r="J700" s="10"/>
      <c r="K700" s="10"/>
      <c r="L700" s="10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>
      <c r="A701" s="19"/>
      <c r="B701" s="12"/>
      <c r="C701" s="10"/>
      <c r="D701" s="20"/>
      <c r="E701" s="10"/>
      <c r="F701" s="10"/>
      <c r="G701" s="10"/>
      <c r="H701" s="10"/>
      <c r="I701" s="10"/>
      <c r="J701" s="10"/>
      <c r="K701" s="10"/>
      <c r="L701" s="10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>
      <c r="A702" s="19"/>
      <c r="B702" s="12"/>
      <c r="C702" s="10"/>
      <c r="D702" s="20"/>
      <c r="E702" s="10"/>
      <c r="F702" s="10"/>
      <c r="G702" s="10"/>
      <c r="H702" s="10"/>
      <c r="I702" s="10"/>
      <c r="J702" s="10"/>
      <c r="K702" s="10"/>
      <c r="L702" s="10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>
      <c r="A703" s="19"/>
      <c r="B703" s="12"/>
      <c r="C703" s="10"/>
      <c r="D703" s="20"/>
      <c r="E703" s="10"/>
      <c r="F703" s="10"/>
      <c r="G703" s="10"/>
      <c r="H703" s="10"/>
      <c r="I703" s="10"/>
      <c r="J703" s="10"/>
      <c r="K703" s="10"/>
      <c r="L703" s="10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>
      <c r="A704" s="19"/>
      <c r="B704" s="12"/>
      <c r="C704" s="10"/>
      <c r="D704" s="20"/>
      <c r="E704" s="10"/>
      <c r="F704" s="10"/>
      <c r="G704" s="10"/>
      <c r="H704" s="10"/>
      <c r="I704" s="10"/>
      <c r="J704" s="10"/>
      <c r="K704" s="10"/>
      <c r="L704" s="10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>
      <c r="A705" s="19"/>
      <c r="B705" s="12"/>
      <c r="C705" s="10"/>
      <c r="D705" s="20"/>
      <c r="E705" s="10"/>
      <c r="F705" s="10"/>
      <c r="G705" s="10"/>
      <c r="H705" s="10"/>
      <c r="I705" s="10"/>
      <c r="J705" s="10"/>
      <c r="K705" s="10"/>
      <c r="L705" s="10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>
      <c r="A706" s="19"/>
      <c r="B706" s="12"/>
      <c r="C706" s="10"/>
      <c r="D706" s="20"/>
      <c r="E706" s="10"/>
      <c r="F706" s="10"/>
      <c r="G706" s="10"/>
      <c r="H706" s="10"/>
      <c r="I706" s="10"/>
      <c r="J706" s="10"/>
      <c r="K706" s="10"/>
      <c r="L706" s="10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>
      <c r="A707" s="19"/>
      <c r="B707" s="12"/>
      <c r="C707" s="10"/>
      <c r="D707" s="20"/>
      <c r="E707" s="10"/>
      <c r="F707" s="10"/>
      <c r="G707" s="10"/>
      <c r="H707" s="10"/>
      <c r="I707" s="10"/>
      <c r="J707" s="10"/>
      <c r="K707" s="10"/>
      <c r="L707" s="10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>
      <c r="A708" s="19"/>
      <c r="B708" s="12"/>
      <c r="C708" s="10"/>
      <c r="D708" s="20"/>
      <c r="E708" s="10"/>
      <c r="F708" s="10"/>
      <c r="G708" s="10"/>
      <c r="H708" s="10"/>
      <c r="I708" s="10"/>
      <c r="J708" s="10"/>
      <c r="K708" s="10"/>
      <c r="L708" s="10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>
      <c r="A709" s="19"/>
      <c r="B709" s="12"/>
      <c r="C709" s="10"/>
      <c r="D709" s="20"/>
      <c r="E709" s="10"/>
      <c r="F709" s="10"/>
      <c r="G709" s="10"/>
      <c r="H709" s="10"/>
      <c r="I709" s="10"/>
      <c r="J709" s="10"/>
      <c r="K709" s="10"/>
      <c r="L709" s="10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>
      <c r="A710" s="19"/>
      <c r="B710" s="12"/>
      <c r="C710" s="10"/>
      <c r="D710" s="20"/>
      <c r="E710" s="10"/>
      <c r="F710" s="10"/>
      <c r="G710" s="10"/>
      <c r="H710" s="10"/>
      <c r="I710" s="10"/>
      <c r="J710" s="10"/>
      <c r="K710" s="10"/>
      <c r="L710" s="10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>
      <c r="A711" s="19"/>
      <c r="B711" s="12"/>
      <c r="C711" s="10"/>
      <c r="D711" s="20"/>
      <c r="E711" s="10"/>
      <c r="F711" s="10"/>
      <c r="G711" s="10"/>
      <c r="H711" s="10"/>
      <c r="I711" s="10"/>
      <c r="J711" s="10"/>
      <c r="K711" s="10"/>
      <c r="L711" s="10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>
      <c r="A712" s="19"/>
      <c r="B712" s="12"/>
      <c r="C712" s="10"/>
      <c r="D712" s="20"/>
      <c r="E712" s="10"/>
      <c r="F712" s="10"/>
      <c r="G712" s="10"/>
      <c r="H712" s="10"/>
      <c r="I712" s="10"/>
      <c r="J712" s="10"/>
      <c r="K712" s="10"/>
      <c r="L712" s="10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>
      <c r="A713" s="19"/>
      <c r="B713" s="12"/>
      <c r="C713" s="10"/>
      <c r="D713" s="20"/>
      <c r="E713" s="10"/>
      <c r="F713" s="10"/>
      <c r="G713" s="10"/>
      <c r="H713" s="10"/>
      <c r="I713" s="10"/>
      <c r="J713" s="10"/>
      <c r="K713" s="10"/>
      <c r="L713" s="10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>
      <c r="A714" s="19"/>
      <c r="B714" s="12"/>
      <c r="C714" s="10"/>
      <c r="D714" s="20"/>
      <c r="E714" s="10"/>
      <c r="F714" s="10"/>
      <c r="G714" s="10"/>
      <c r="H714" s="10"/>
      <c r="I714" s="10"/>
      <c r="J714" s="10"/>
      <c r="K714" s="10"/>
      <c r="L714" s="10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>
      <c r="A715" s="19"/>
      <c r="B715" s="12"/>
      <c r="C715" s="10"/>
      <c r="D715" s="20"/>
      <c r="E715" s="10"/>
      <c r="F715" s="10"/>
      <c r="G715" s="10"/>
      <c r="H715" s="10"/>
      <c r="I715" s="10"/>
      <c r="J715" s="10"/>
      <c r="K715" s="10"/>
      <c r="L715" s="10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>
      <c r="A716" s="19"/>
      <c r="B716" s="12"/>
      <c r="C716" s="10"/>
      <c r="D716" s="20"/>
      <c r="E716" s="10"/>
      <c r="F716" s="10"/>
      <c r="G716" s="10"/>
      <c r="H716" s="10"/>
      <c r="I716" s="10"/>
      <c r="J716" s="10"/>
      <c r="K716" s="10"/>
      <c r="L716" s="10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>
      <c r="A717" s="19"/>
      <c r="B717" s="12"/>
      <c r="C717" s="10"/>
      <c r="D717" s="20"/>
      <c r="E717" s="10"/>
      <c r="F717" s="10"/>
      <c r="G717" s="10"/>
      <c r="H717" s="10"/>
      <c r="I717" s="10"/>
      <c r="J717" s="10"/>
      <c r="K717" s="10"/>
      <c r="L717" s="10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>
      <c r="A718" s="19"/>
      <c r="B718" s="12"/>
      <c r="C718" s="10"/>
      <c r="D718" s="20"/>
      <c r="E718" s="10"/>
      <c r="F718" s="10"/>
      <c r="G718" s="10"/>
      <c r="H718" s="10"/>
      <c r="I718" s="10"/>
      <c r="J718" s="10"/>
      <c r="K718" s="10"/>
      <c r="L718" s="10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>
      <c r="A719" s="19"/>
      <c r="B719" s="12"/>
      <c r="C719" s="10"/>
      <c r="D719" s="20"/>
      <c r="E719" s="10"/>
      <c r="F719" s="10"/>
      <c r="G719" s="10"/>
      <c r="H719" s="10"/>
      <c r="I719" s="10"/>
      <c r="J719" s="10"/>
      <c r="K719" s="10"/>
      <c r="L719" s="10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>
      <c r="A720" s="19"/>
      <c r="B720" s="12"/>
      <c r="C720" s="10"/>
      <c r="D720" s="20"/>
      <c r="E720" s="10"/>
      <c r="F720" s="10"/>
      <c r="G720" s="10"/>
      <c r="H720" s="10"/>
      <c r="I720" s="10"/>
      <c r="J720" s="10"/>
      <c r="K720" s="10"/>
      <c r="L720" s="10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>
      <c r="A721" s="19"/>
      <c r="B721" s="12"/>
      <c r="C721" s="10"/>
      <c r="D721" s="20"/>
      <c r="E721" s="10"/>
      <c r="F721" s="10"/>
      <c r="G721" s="10"/>
      <c r="H721" s="10"/>
      <c r="I721" s="10"/>
      <c r="J721" s="10"/>
      <c r="K721" s="10"/>
      <c r="L721" s="10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>
      <c r="A722" s="19"/>
      <c r="B722" s="12"/>
      <c r="C722" s="10"/>
      <c r="D722" s="20"/>
      <c r="E722" s="10"/>
      <c r="F722" s="10"/>
      <c r="G722" s="10"/>
      <c r="H722" s="10"/>
      <c r="I722" s="10"/>
      <c r="J722" s="10"/>
      <c r="K722" s="10"/>
      <c r="L722" s="10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>
      <c r="A723" s="19"/>
      <c r="B723" s="12"/>
      <c r="C723" s="10"/>
      <c r="D723" s="20"/>
      <c r="E723" s="10"/>
      <c r="F723" s="10"/>
      <c r="G723" s="10"/>
      <c r="H723" s="10"/>
      <c r="I723" s="10"/>
      <c r="J723" s="10"/>
      <c r="K723" s="10"/>
      <c r="L723" s="10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>
      <c r="A724" s="19"/>
      <c r="B724" s="12"/>
      <c r="C724" s="10"/>
      <c r="D724" s="20"/>
      <c r="E724" s="10"/>
      <c r="F724" s="10"/>
      <c r="G724" s="10"/>
      <c r="H724" s="10"/>
      <c r="I724" s="10"/>
      <c r="J724" s="10"/>
      <c r="K724" s="10"/>
      <c r="L724" s="10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>
      <c r="A725" s="19"/>
      <c r="B725" s="12"/>
      <c r="C725" s="10"/>
      <c r="D725" s="20"/>
      <c r="E725" s="10"/>
      <c r="F725" s="10"/>
      <c r="G725" s="10"/>
      <c r="H725" s="10"/>
      <c r="I725" s="10"/>
      <c r="J725" s="10"/>
      <c r="K725" s="10"/>
      <c r="L725" s="10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>
      <c r="A726" s="19"/>
      <c r="B726" s="12"/>
      <c r="C726" s="10"/>
      <c r="D726" s="20"/>
      <c r="E726" s="10"/>
      <c r="F726" s="10"/>
      <c r="G726" s="10"/>
      <c r="H726" s="10"/>
      <c r="I726" s="10"/>
      <c r="J726" s="10"/>
      <c r="K726" s="10"/>
      <c r="L726" s="10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>
      <c r="A727" s="19"/>
      <c r="B727" s="12"/>
      <c r="C727" s="10"/>
      <c r="D727" s="20"/>
      <c r="E727" s="10"/>
      <c r="F727" s="10"/>
      <c r="G727" s="10"/>
      <c r="H727" s="10"/>
      <c r="I727" s="10"/>
      <c r="J727" s="10"/>
      <c r="K727" s="10"/>
      <c r="L727" s="10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>
      <c r="A728" s="19"/>
      <c r="B728" s="12"/>
      <c r="C728" s="10"/>
      <c r="D728" s="20"/>
      <c r="E728" s="10"/>
      <c r="F728" s="10"/>
      <c r="G728" s="10"/>
      <c r="H728" s="10"/>
      <c r="I728" s="10"/>
      <c r="J728" s="10"/>
      <c r="K728" s="10"/>
      <c r="L728" s="10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>
      <c r="A729" s="19"/>
      <c r="B729" s="12"/>
      <c r="C729" s="10"/>
      <c r="D729" s="20"/>
      <c r="E729" s="10"/>
      <c r="F729" s="10"/>
      <c r="G729" s="10"/>
      <c r="H729" s="10"/>
      <c r="I729" s="10"/>
      <c r="J729" s="10"/>
      <c r="K729" s="10"/>
      <c r="L729" s="10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>
      <c r="A730" s="19"/>
      <c r="B730" s="12"/>
      <c r="C730" s="10"/>
      <c r="D730" s="20"/>
      <c r="E730" s="10"/>
      <c r="F730" s="10"/>
      <c r="G730" s="10"/>
      <c r="H730" s="10"/>
      <c r="I730" s="10"/>
      <c r="J730" s="10"/>
      <c r="K730" s="10"/>
      <c r="L730" s="10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>
      <c r="A731" s="19"/>
      <c r="B731" s="12"/>
      <c r="C731" s="10"/>
      <c r="D731" s="20"/>
      <c r="E731" s="10"/>
      <c r="F731" s="10"/>
      <c r="G731" s="10"/>
      <c r="H731" s="10"/>
      <c r="I731" s="10"/>
      <c r="J731" s="10"/>
      <c r="K731" s="10"/>
      <c r="L731" s="10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>
      <c r="A732" s="19"/>
      <c r="B732" s="12"/>
      <c r="C732" s="10"/>
      <c r="D732" s="20"/>
      <c r="E732" s="10"/>
      <c r="F732" s="10"/>
      <c r="G732" s="10"/>
      <c r="H732" s="10"/>
      <c r="I732" s="10"/>
      <c r="J732" s="10"/>
      <c r="K732" s="10"/>
      <c r="L732" s="10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>
      <c r="A733" s="19"/>
      <c r="B733" s="12"/>
      <c r="C733" s="10"/>
      <c r="D733" s="20"/>
      <c r="E733" s="10"/>
      <c r="F733" s="10"/>
      <c r="G733" s="10"/>
      <c r="H733" s="10"/>
      <c r="I733" s="10"/>
      <c r="J733" s="10"/>
      <c r="K733" s="10"/>
      <c r="L733" s="10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>
      <c r="A734" s="19"/>
      <c r="B734" s="12"/>
      <c r="C734" s="10"/>
      <c r="D734" s="20"/>
      <c r="E734" s="10"/>
      <c r="F734" s="10"/>
      <c r="G734" s="10"/>
      <c r="H734" s="10"/>
      <c r="I734" s="10"/>
      <c r="J734" s="10"/>
      <c r="K734" s="10"/>
      <c r="L734" s="10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>
      <c r="A735" s="19"/>
      <c r="B735" s="12"/>
      <c r="C735" s="10"/>
      <c r="D735" s="20"/>
      <c r="E735" s="10"/>
      <c r="F735" s="10"/>
      <c r="G735" s="10"/>
      <c r="H735" s="10"/>
      <c r="I735" s="10"/>
      <c r="J735" s="10"/>
      <c r="K735" s="10"/>
      <c r="L735" s="10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>
      <c r="A736" s="19"/>
      <c r="B736" s="12"/>
      <c r="C736" s="10"/>
      <c r="D736" s="20"/>
      <c r="E736" s="10"/>
      <c r="F736" s="10"/>
      <c r="G736" s="10"/>
      <c r="H736" s="10"/>
      <c r="I736" s="10"/>
      <c r="J736" s="10"/>
      <c r="K736" s="10"/>
      <c r="L736" s="10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>
      <c r="A737" s="19"/>
      <c r="B737" s="12"/>
      <c r="C737" s="10"/>
      <c r="D737" s="20"/>
      <c r="E737" s="10"/>
      <c r="F737" s="10"/>
      <c r="G737" s="10"/>
      <c r="H737" s="10"/>
      <c r="I737" s="10"/>
      <c r="J737" s="10"/>
      <c r="K737" s="10"/>
      <c r="L737" s="10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>
      <c r="A738" s="19"/>
      <c r="B738" s="12"/>
      <c r="C738" s="10"/>
      <c r="D738" s="20"/>
      <c r="E738" s="10"/>
      <c r="F738" s="10"/>
      <c r="G738" s="10"/>
      <c r="H738" s="10"/>
      <c r="I738" s="10"/>
      <c r="J738" s="10"/>
      <c r="K738" s="10"/>
      <c r="L738" s="10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>
      <c r="A739" s="19"/>
      <c r="B739" s="12"/>
      <c r="C739" s="10"/>
      <c r="D739" s="20"/>
      <c r="E739" s="10"/>
      <c r="F739" s="10"/>
      <c r="G739" s="10"/>
      <c r="H739" s="10"/>
      <c r="I739" s="10"/>
      <c r="J739" s="10"/>
      <c r="K739" s="10"/>
      <c r="L739" s="10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>
      <c r="A740" s="19"/>
      <c r="B740" s="12"/>
      <c r="C740" s="10"/>
      <c r="D740" s="20"/>
      <c r="E740" s="10"/>
      <c r="F740" s="10"/>
      <c r="G740" s="10"/>
      <c r="H740" s="10"/>
      <c r="I740" s="10"/>
      <c r="J740" s="10"/>
      <c r="K740" s="10"/>
      <c r="L740" s="10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>
      <c r="A741" s="19"/>
      <c r="B741" s="12"/>
      <c r="C741" s="10"/>
      <c r="D741" s="20"/>
      <c r="E741" s="10"/>
      <c r="F741" s="10"/>
      <c r="G741" s="10"/>
      <c r="H741" s="10"/>
      <c r="I741" s="10"/>
      <c r="J741" s="10"/>
      <c r="K741" s="10"/>
      <c r="L741" s="10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>
      <c r="A742" s="19"/>
      <c r="B742" s="12"/>
      <c r="C742" s="10"/>
      <c r="D742" s="20"/>
      <c r="E742" s="10"/>
      <c r="F742" s="10"/>
      <c r="G742" s="10"/>
      <c r="H742" s="10"/>
      <c r="I742" s="10"/>
      <c r="J742" s="10"/>
      <c r="K742" s="10"/>
      <c r="L742" s="10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>
      <c r="A743" s="19"/>
      <c r="B743" s="12"/>
      <c r="C743" s="10"/>
      <c r="D743" s="20"/>
      <c r="E743" s="10"/>
      <c r="F743" s="10"/>
      <c r="G743" s="10"/>
      <c r="H743" s="10"/>
      <c r="I743" s="10"/>
      <c r="J743" s="10"/>
      <c r="K743" s="10"/>
      <c r="L743" s="10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>
      <c r="A744" s="19"/>
      <c r="B744" s="12"/>
      <c r="C744" s="10"/>
      <c r="D744" s="20"/>
      <c r="E744" s="10"/>
      <c r="F744" s="10"/>
      <c r="G744" s="10"/>
      <c r="H744" s="10"/>
      <c r="I744" s="10"/>
      <c r="J744" s="10"/>
      <c r="K744" s="10"/>
      <c r="L744" s="10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>
      <c r="A745" s="19"/>
      <c r="B745" s="12"/>
      <c r="C745" s="10"/>
      <c r="D745" s="20"/>
      <c r="E745" s="10"/>
      <c r="F745" s="10"/>
      <c r="G745" s="10"/>
      <c r="H745" s="10"/>
      <c r="I745" s="10"/>
      <c r="J745" s="10"/>
      <c r="K745" s="10"/>
      <c r="L745" s="10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>
      <c r="A746" s="19"/>
      <c r="B746" s="12"/>
      <c r="C746" s="10"/>
      <c r="D746" s="20"/>
      <c r="E746" s="10"/>
      <c r="F746" s="10"/>
      <c r="G746" s="10"/>
      <c r="H746" s="10"/>
      <c r="I746" s="10"/>
      <c r="J746" s="10"/>
      <c r="K746" s="10"/>
      <c r="L746" s="10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>
      <c r="A747" s="19"/>
      <c r="B747" s="12"/>
      <c r="C747" s="10"/>
      <c r="D747" s="20"/>
      <c r="E747" s="10"/>
      <c r="F747" s="10"/>
      <c r="G747" s="10"/>
      <c r="H747" s="10"/>
      <c r="I747" s="10"/>
      <c r="J747" s="10"/>
      <c r="K747" s="10"/>
      <c r="L747" s="10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>
      <c r="A748" s="19"/>
      <c r="B748" s="12"/>
      <c r="C748" s="10"/>
      <c r="D748" s="20"/>
      <c r="E748" s="10"/>
      <c r="F748" s="10"/>
      <c r="G748" s="10"/>
      <c r="H748" s="10"/>
      <c r="I748" s="10"/>
      <c r="J748" s="10"/>
      <c r="K748" s="10"/>
      <c r="L748" s="10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>
      <c r="A749" s="19"/>
      <c r="B749" s="12"/>
      <c r="C749" s="10"/>
      <c r="D749" s="20"/>
      <c r="E749" s="10"/>
      <c r="F749" s="10"/>
      <c r="G749" s="10"/>
      <c r="H749" s="10"/>
      <c r="I749" s="10"/>
      <c r="J749" s="10"/>
      <c r="K749" s="10"/>
      <c r="L749" s="10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>
      <c r="A750" s="19"/>
      <c r="B750" s="12"/>
      <c r="C750" s="10"/>
      <c r="D750" s="20"/>
      <c r="E750" s="10"/>
      <c r="F750" s="10"/>
      <c r="G750" s="10"/>
      <c r="H750" s="10"/>
      <c r="I750" s="10"/>
      <c r="J750" s="10"/>
      <c r="K750" s="10"/>
      <c r="L750" s="10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>
      <c r="A751" s="19"/>
      <c r="B751" s="12"/>
      <c r="C751" s="10"/>
      <c r="D751" s="20"/>
      <c r="E751" s="10"/>
      <c r="F751" s="10"/>
      <c r="G751" s="10"/>
      <c r="H751" s="10"/>
      <c r="I751" s="10"/>
      <c r="J751" s="10"/>
      <c r="K751" s="10"/>
      <c r="L751" s="10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>
      <c r="A752" s="19"/>
      <c r="B752" s="12"/>
      <c r="C752" s="10"/>
      <c r="D752" s="20"/>
      <c r="E752" s="10"/>
      <c r="F752" s="10"/>
      <c r="G752" s="10"/>
      <c r="H752" s="10"/>
      <c r="I752" s="10"/>
      <c r="J752" s="10"/>
      <c r="K752" s="10"/>
      <c r="L752" s="10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>
      <c r="A753" s="19"/>
      <c r="B753" s="12"/>
      <c r="C753" s="10"/>
      <c r="D753" s="20"/>
      <c r="E753" s="10"/>
      <c r="F753" s="10"/>
      <c r="G753" s="10"/>
      <c r="H753" s="10"/>
      <c r="I753" s="10"/>
      <c r="J753" s="10"/>
      <c r="K753" s="10"/>
      <c r="L753" s="10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>
      <c r="A754" s="19"/>
      <c r="B754" s="12"/>
      <c r="C754" s="10"/>
      <c r="D754" s="20"/>
      <c r="E754" s="10"/>
      <c r="F754" s="10"/>
      <c r="G754" s="10"/>
      <c r="H754" s="10"/>
      <c r="I754" s="10"/>
      <c r="J754" s="10"/>
      <c r="K754" s="10"/>
      <c r="L754" s="10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>
      <c r="A755" s="19"/>
      <c r="B755" s="12"/>
      <c r="C755" s="10"/>
      <c r="D755" s="20"/>
      <c r="E755" s="10"/>
      <c r="F755" s="10"/>
      <c r="G755" s="10"/>
      <c r="H755" s="10"/>
      <c r="I755" s="10"/>
      <c r="J755" s="10"/>
      <c r="K755" s="10"/>
      <c r="L755" s="10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>
      <c r="A756" s="19"/>
      <c r="B756" s="12"/>
      <c r="C756" s="10"/>
      <c r="D756" s="20"/>
      <c r="E756" s="10"/>
      <c r="F756" s="10"/>
      <c r="G756" s="10"/>
      <c r="H756" s="10"/>
      <c r="I756" s="10"/>
      <c r="J756" s="10"/>
      <c r="K756" s="10"/>
      <c r="L756" s="10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>
      <c r="A757" s="19"/>
      <c r="B757" s="12"/>
      <c r="C757" s="10"/>
      <c r="D757" s="20"/>
      <c r="E757" s="10"/>
      <c r="F757" s="10"/>
      <c r="G757" s="10"/>
      <c r="H757" s="10"/>
      <c r="I757" s="10"/>
      <c r="J757" s="10"/>
      <c r="K757" s="10"/>
      <c r="L757" s="10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>
      <c r="A758" s="19"/>
      <c r="B758" s="12"/>
      <c r="C758" s="10"/>
      <c r="D758" s="20"/>
      <c r="E758" s="10"/>
      <c r="F758" s="10"/>
      <c r="G758" s="10"/>
      <c r="H758" s="10"/>
      <c r="I758" s="10"/>
      <c r="J758" s="10"/>
      <c r="K758" s="10"/>
      <c r="L758" s="10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>
      <c r="A759" s="19"/>
      <c r="B759" s="12"/>
      <c r="C759" s="10"/>
      <c r="D759" s="20"/>
      <c r="E759" s="10"/>
      <c r="F759" s="10"/>
      <c r="G759" s="10"/>
      <c r="H759" s="10"/>
      <c r="I759" s="10"/>
      <c r="J759" s="10"/>
      <c r="K759" s="10"/>
      <c r="L759" s="10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>
      <c r="A760" s="19"/>
      <c r="B760" s="12"/>
      <c r="C760" s="10"/>
      <c r="D760" s="20"/>
      <c r="E760" s="10"/>
      <c r="F760" s="10"/>
      <c r="G760" s="10"/>
      <c r="H760" s="10"/>
      <c r="I760" s="10"/>
      <c r="J760" s="10"/>
      <c r="K760" s="10"/>
      <c r="L760" s="10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>
      <c r="A761" s="19"/>
      <c r="B761" s="12"/>
      <c r="C761" s="10"/>
      <c r="D761" s="20"/>
      <c r="E761" s="10"/>
      <c r="F761" s="10"/>
      <c r="G761" s="10"/>
      <c r="H761" s="10"/>
      <c r="I761" s="10"/>
      <c r="J761" s="10"/>
      <c r="K761" s="10"/>
      <c r="L761" s="10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>
      <c r="A762" s="19"/>
      <c r="B762" s="12"/>
      <c r="C762" s="10"/>
      <c r="D762" s="20"/>
      <c r="E762" s="10"/>
      <c r="F762" s="10"/>
      <c r="G762" s="10"/>
      <c r="H762" s="10"/>
      <c r="I762" s="10"/>
      <c r="J762" s="10"/>
      <c r="K762" s="10"/>
      <c r="L762" s="10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>
      <c r="A763" s="19"/>
      <c r="B763" s="12"/>
      <c r="C763" s="10"/>
      <c r="D763" s="20"/>
      <c r="E763" s="10"/>
      <c r="F763" s="10"/>
      <c r="G763" s="10"/>
      <c r="H763" s="10"/>
      <c r="I763" s="10"/>
      <c r="J763" s="10"/>
      <c r="K763" s="10"/>
      <c r="L763" s="10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>
      <c r="A764" s="19"/>
      <c r="B764" s="12"/>
      <c r="C764" s="10"/>
      <c r="D764" s="20"/>
      <c r="E764" s="10"/>
      <c r="F764" s="10"/>
      <c r="G764" s="10"/>
      <c r="H764" s="10"/>
      <c r="I764" s="10"/>
      <c r="J764" s="10"/>
      <c r="K764" s="10"/>
      <c r="L764" s="10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>
      <c r="A765" s="19"/>
      <c r="B765" s="12"/>
      <c r="C765" s="10"/>
      <c r="D765" s="20"/>
      <c r="E765" s="10"/>
      <c r="F765" s="10"/>
      <c r="G765" s="10"/>
      <c r="H765" s="10"/>
      <c r="I765" s="10"/>
      <c r="J765" s="10"/>
      <c r="K765" s="10"/>
      <c r="L765" s="10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>
      <c r="A766" s="19"/>
      <c r="B766" s="12"/>
      <c r="C766" s="10"/>
      <c r="D766" s="20"/>
      <c r="E766" s="10"/>
      <c r="F766" s="10"/>
      <c r="G766" s="10"/>
      <c r="H766" s="10"/>
      <c r="I766" s="10"/>
      <c r="J766" s="10"/>
      <c r="K766" s="10"/>
      <c r="L766" s="10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>
      <c r="A767" s="19"/>
      <c r="B767" s="12"/>
      <c r="C767" s="10"/>
      <c r="D767" s="20"/>
      <c r="E767" s="10"/>
      <c r="F767" s="10"/>
      <c r="G767" s="10"/>
      <c r="H767" s="10"/>
      <c r="I767" s="10"/>
      <c r="J767" s="10"/>
      <c r="K767" s="10"/>
      <c r="L767" s="10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>
      <c r="A768" s="19"/>
      <c r="B768" s="12"/>
      <c r="C768" s="10"/>
      <c r="D768" s="20"/>
      <c r="E768" s="10"/>
      <c r="F768" s="10"/>
      <c r="G768" s="10"/>
      <c r="H768" s="10"/>
      <c r="I768" s="10"/>
      <c r="J768" s="10"/>
      <c r="K768" s="10"/>
      <c r="L768" s="10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>
      <c r="A769" s="19"/>
      <c r="B769" s="12"/>
      <c r="C769" s="10"/>
      <c r="D769" s="20"/>
      <c r="E769" s="10"/>
      <c r="F769" s="10"/>
      <c r="G769" s="10"/>
      <c r="H769" s="10"/>
      <c r="I769" s="10"/>
      <c r="J769" s="10"/>
      <c r="K769" s="10"/>
      <c r="L769" s="10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>
      <c r="A770" s="19"/>
      <c r="B770" s="12"/>
      <c r="C770" s="10"/>
      <c r="D770" s="20"/>
      <c r="E770" s="10"/>
      <c r="F770" s="10"/>
      <c r="G770" s="10"/>
      <c r="H770" s="10"/>
      <c r="I770" s="10"/>
      <c r="J770" s="10"/>
      <c r="K770" s="10"/>
      <c r="L770" s="10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>
      <c r="A771" s="19"/>
      <c r="B771" s="12"/>
      <c r="C771" s="10"/>
      <c r="D771" s="20"/>
      <c r="E771" s="10"/>
      <c r="F771" s="10"/>
      <c r="G771" s="10"/>
      <c r="H771" s="10"/>
      <c r="I771" s="10"/>
      <c r="J771" s="10"/>
      <c r="K771" s="10"/>
      <c r="L771" s="10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>
      <c r="A772" s="19"/>
      <c r="B772" s="12"/>
      <c r="C772" s="10"/>
      <c r="D772" s="20"/>
      <c r="E772" s="10"/>
      <c r="F772" s="10"/>
      <c r="G772" s="10"/>
      <c r="H772" s="10"/>
      <c r="I772" s="10"/>
      <c r="J772" s="10"/>
      <c r="K772" s="10"/>
      <c r="L772" s="10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>
      <c r="A773" s="19"/>
      <c r="B773" s="12"/>
      <c r="C773" s="10"/>
      <c r="D773" s="20"/>
      <c r="E773" s="10"/>
      <c r="F773" s="10"/>
      <c r="G773" s="10"/>
      <c r="H773" s="10"/>
      <c r="I773" s="10"/>
      <c r="J773" s="10"/>
      <c r="K773" s="10"/>
      <c r="L773" s="10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>
      <c r="A774" s="19"/>
      <c r="B774" s="12"/>
      <c r="C774" s="10"/>
      <c r="D774" s="20"/>
      <c r="E774" s="10"/>
      <c r="F774" s="10"/>
      <c r="G774" s="10"/>
      <c r="H774" s="10"/>
      <c r="I774" s="10"/>
      <c r="J774" s="10"/>
      <c r="K774" s="10"/>
      <c r="L774" s="10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>
      <c r="A775" s="19"/>
      <c r="B775" s="12"/>
      <c r="C775" s="10"/>
      <c r="D775" s="20"/>
      <c r="E775" s="10"/>
      <c r="F775" s="10"/>
      <c r="G775" s="10"/>
      <c r="H775" s="10"/>
      <c r="I775" s="10"/>
      <c r="J775" s="10"/>
      <c r="K775" s="10"/>
      <c r="L775" s="10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>
      <c r="A776" s="19"/>
      <c r="B776" s="12"/>
      <c r="C776" s="10"/>
      <c r="D776" s="20"/>
      <c r="E776" s="10"/>
      <c r="F776" s="10"/>
      <c r="G776" s="10"/>
      <c r="H776" s="10"/>
      <c r="I776" s="10"/>
      <c r="J776" s="10"/>
      <c r="K776" s="10"/>
      <c r="L776" s="10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>
      <c r="A777" s="19"/>
      <c r="B777" s="12"/>
      <c r="C777" s="10"/>
      <c r="D777" s="20"/>
      <c r="E777" s="10"/>
      <c r="F777" s="10"/>
      <c r="G777" s="10"/>
      <c r="H777" s="10"/>
      <c r="I777" s="10"/>
      <c r="J777" s="10"/>
      <c r="K777" s="10"/>
      <c r="L777" s="10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>
      <c r="A778" s="19"/>
      <c r="B778" s="12"/>
      <c r="C778" s="10"/>
      <c r="D778" s="20"/>
      <c r="E778" s="10"/>
      <c r="F778" s="10"/>
      <c r="G778" s="10"/>
      <c r="H778" s="10"/>
      <c r="I778" s="10"/>
      <c r="J778" s="10"/>
      <c r="K778" s="10"/>
      <c r="L778" s="10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>
      <c r="A779" s="19"/>
      <c r="B779" s="12"/>
      <c r="C779" s="10"/>
      <c r="D779" s="20"/>
      <c r="E779" s="10"/>
      <c r="F779" s="10"/>
      <c r="G779" s="10"/>
      <c r="H779" s="10"/>
      <c r="I779" s="10"/>
      <c r="J779" s="10"/>
      <c r="K779" s="10"/>
      <c r="L779" s="10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>
      <c r="A780" s="19"/>
      <c r="B780" s="12"/>
      <c r="C780" s="10"/>
      <c r="D780" s="20"/>
      <c r="E780" s="10"/>
      <c r="F780" s="10"/>
      <c r="G780" s="10"/>
      <c r="H780" s="10"/>
      <c r="I780" s="10"/>
      <c r="J780" s="10"/>
      <c r="K780" s="10"/>
      <c r="L780" s="10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>
      <c r="A781" s="19"/>
      <c r="B781" s="12"/>
      <c r="C781" s="10"/>
      <c r="D781" s="20"/>
      <c r="E781" s="10"/>
      <c r="F781" s="10"/>
      <c r="G781" s="10"/>
      <c r="H781" s="10"/>
      <c r="I781" s="10"/>
      <c r="J781" s="10"/>
      <c r="K781" s="10"/>
      <c r="L781" s="10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>
      <c r="A782" s="19"/>
      <c r="B782" s="12"/>
      <c r="C782" s="10"/>
      <c r="D782" s="20"/>
      <c r="E782" s="10"/>
      <c r="F782" s="10"/>
      <c r="G782" s="10"/>
      <c r="H782" s="10"/>
      <c r="I782" s="10"/>
      <c r="J782" s="10"/>
      <c r="K782" s="10"/>
      <c r="L782" s="10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>
      <c r="A783" s="19"/>
      <c r="B783" s="12"/>
      <c r="C783" s="10"/>
      <c r="D783" s="20"/>
      <c r="E783" s="10"/>
      <c r="F783" s="10"/>
      <c r="G783" s="10"/>
      <c r="H783" s="10"/>
      <c r="I783" s="10"/>
      <c r="J783" s="10"/>
      <c r="K783" s="10"/>
      <c r="L783" s="10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>
      <c r="A784" s="19"/>
      <c r="B784" s="12"/>
      <c r="C784" s="10"/>
      <c r="D784" s="20"/>
      <c r="E784" s="10"/>
      <c r="F784" s="10"/>
      <c r="G784" s="10"/>
      <c r="H784" s="10"/>
      <c r="I784" s="10"/>
      <c r="J784" s="10"/>
      <c r="K784" s="10"/>
      <c r="L784" s="10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>
      <c r="A785" s="19"/>
      <c r="B785" s="12"/>
      <c r="C785" s="10"/>
      <c r="D785" s="20"/>
      <c r="E785" s="10"/>
      <c r="F785" s="10"/>
      <c r="G785" s="10"/>
      <c r="H785" s="10"/>
      <c r="I785" s="10"/>
      <c r="J785" s="10"/>
      <c r="K785" s="10"/>
      <c r="L785" s="10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>
      <c r="A786" s="19"/>
      <c r="B786" s="12"/>
      <c r="C786" s="10"/>
      <c r="D786" s="20"/>
      <c r="E786" s="10"/>
      <c r="F786" s="10"/>
      <c r="G786" s="10"/>
      <c r="H786" s="10"/>
      <c r="I786" s="10"/>
      <c r="J786" s="10"/>
      <c r="K786" s="10"/>
      <c r="L786" s="10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>
      <c r="A787" s="19"/>
      <c r="B787" s="12"/>
      <c r="C787" s="10"/>
      <c r="D787" s="20"/>
      <c r="E787" s="10"/>
      <c r="F787" s="10"/>
      <c r="G787" s="10"/>
      <c r="H787" s="10"/>
      <c r="I787" s="10"/>
      <c r="J787" s="10"/>
      <c r="K787" s="10"/>
      <c r="L787" s="10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>
      <c r="A788" s="19"/>
      <c r="B788" s="12"/>
      <c r="C788" s="10"/>
      <c r="D788" s="20"/>
      <c r="E788" s="10"/>
      <c r="F788" s="10"/>
      <c r="G788" s="10"/>
      <c r="H788" s="10"/>
      <c r="I788" s="10"/>
      <c r="J788" s="10"/>
      <c r="K788" s="10"/>
      <c r="L788" s="10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>
      <c r="A789" s="19"/>
      <c r="B789" s="12"/>
      <c r="C789" s="10"/>
      <c r="D789" s="20"/>
      <c r="E789" s="10"/>
      <c r="F789" s="10"/>
      <c r="G789" s="10"/>
      <c r="H789" s="10"/>
      <c r="I789" s="10"/>
      <c r="J789" s="10"/>
      <c r="K789" s="10"/>
      <c r="L789" s="10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>
      <c r="A790" s="19"/>
      <c r="B790" s="12"/>
      <c r="C790" s="10"/>
      <c r="D790" s="20"/>
      <c r="E790" s="10"/>
      <c r="F790" s="10"/>
      <c r="G790" s="10"/>
      <c r="H790" s="10"/>
      <c r="I790" s="10"/>
      <c r="J790" s="10"/>
      <c r="K790" s="10"/>
      <c r="L790" s="10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>
      <c r="A791" s="19"/>
      <c r="B791" s="12"/>
      <c r="C791" s="10"/>
      <c r="D791" s="20"/>
      <c r="E791" s="10"/>
      <c r="F791" s="10"/>
      <c r="G791" s="10"/>
      <c r="H791" s="10"/>
      <c r="I791" s="10"/>
      <c r="J791" s="10"/>
      <c r="K791" s="10"/>
      <c r="L791" s="10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>
      <c r="A792" s="19"/>
      <c r="B792" s="12"/>
      <c r="C792" s="10"/>
      <c r="D792" s="20"/>
      <c r="E792" s="10"/>
      <c r="F792" s="10"/>
      <c r="G792" s="10"/>
      <c r="H792" s="10"/>
      <c r="I792" s="10"/>
      <c r="J792" s="10"/>
      <c r="K792" s="10"/>
      <c r="L792" s="10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>
      <c r="A793" s="19"/>
      <c r="B793" s="12"/>
      <c r="C793" s="10"/>
      <c r="D793" s="20"/>
      <c r="E793" s="10"/>
      <c r="F793" s="10"/>
      <c r="G793" s="10"/>
      <c r="H793" s="10"/>
      <c r="I793" s="10"/>
      <c r="J793" s="10"/>
      <c r="K793" s="10"/>
      <c r="L793" s="10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>
      <c r="A794" s="19"/>
      <c r="B794" s="12"/>
      <c r="C794" s="10"/>
      <c r="D794" s="20"/>
      <c r="E794" s="10"/>
      <c r="F794" s="10"/>
      <c r="G794" s="10"/>
      <c r="H794" s="10"/>
      <c r="I794" s="10"/>
      <c r="J794" s="10"/>
      <c r="K794" s="10"/>
      <c r="L794" s="10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>
      <c r="A795" s="19"/>
      <c r="B795" s="12"/>
      <c r="C795" s="10"/>
      <c r="D795" s="20"/>
      <c r="E795" s="10"/>
      <c r="F795" s="10"/>
      <c r="G795" s="10"/>
      <c r="H795" s="10"/>
      <c r="I795" s="10"/>
      <c r="J795" s="10"/>
      <c r="K795" s="10"/>
      <c r="L795" s="10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>
      <c r="A796" s="19"/>
      <c r="B796" s="12"/>
      <c r="C796" s="10"/>
      <c r="D796" s="20"/>
      <c r="E796" s="10"/>
      <c r="F796" s="10"/>
      <c r="G796" s="10"/>
      <c r="H796" s="10"/>
      <c r="I796" s="10"/>
      <c r="J796" s="10"/>
      <c r="K796" s="10"/>
      <c r="L796" s="10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>
      <c r="A797" s="19"/>
      <c r="B797" s="12"/>
      <c r="C797" s="10"/>
      <c r="D797" s="20"/>
      <c r="E797" s="10"/>
      <c r="F797" s="10"/>
      <c r="G797" s="10"/>
      <c r="H797" s="10"/>
      <c r="I797" s="10"/>
      <c r="J797" s="10"/>
      <c r="K797" s="10"/>
      <c r="L797" s="10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>
      <c r="A798" s="19"/>
      <c r="B798" s="12"/>
      <c r="C798" s="10"/>
      <c r="D798" s="20"/>
      <c r="E798" s="10"/>
      <c r="F798" s="10"/>
      <c r="G798" s="10"/>
      <c r="H798" s="10"/>
      <c r="I798" s="10"/>
      <c r="J798" s="10"/>
      <c r="K798" s="10"/>
      <c r="L798" s="10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>
      <c r="A799" s="19"/>
      <c r="B799" s="12"/>
      <c r="C799" s="10"/>
      <c r="D799" s="20"/>
      <c r="E799" s="10"/>
      <c r="F799" s="10"/>
      <c r="G799" s="10"/>
      <c r="H799" s="10"/>
      <c r="I799" s="10"/>
      <c r="J799" s="10"/>
      <c r="K799" s="10"/>
      <c r="L799" s="10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>
      <c r="A800" s="19"/>
      <c r="B800" s="12"/>
      <c r="C800" s="10"/>
      <c r="D800" s="20"/>
      <c r="E800" s="10"/>
      <c r="F800" s="10"/>
      <c r="G800" s="10"/>
      <c r="H800" s="10"/>
      <c r="I800" s="10"/>
      <c r="J800" s="10"/>
      <c r="K800" s="10"/>
      <c r="L800" s="10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>
      <c r="A801" s="19"/>
      <c r="B801" s="12"/>
      <c r="C801" s="10"/>
      <c r="D801" s="20"/>
      <c r="E801" s="10"/>
      <c r="F801" s="10"/>
      <c r="G801" s="10"/>
      <c r="H801" s="10"/>
      <c r="I801" s="10"/>
      <c r="J801" s="10"/>
      <c r="K801" s="10"/>
      <c r="L801" s="10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>
      <c r="A802" s="19"/>
      <c r="B802" s="12"/>
      <c r="C802" s="10"/>
      <c r="D802" s="20"/>
      <c r="E802" s="10"/>
      <c r="F802" s="10"/>
      <c r="G802" s="10"/>
      <c r="H802" s="10"/>
      <c r="I802" s="10"/>
      <c r="J802" s="10"/>
      <c r="K802" s="10"/>
      <c r="L802" s="10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>
      <c r="A803" s="19"/>
      <c r="B803" s="12"/>
      <c r="C803" s="10"/>
      <c r="D803" s="20"/>
      <c r="E803" s="10"/>
      <c r="F803" s="10"/>
      <c r="G803" s="10"/>
      <c r="H803" s="10"/>
      <c r="I803" s="10"/>
      <c r="J803" s="10"/>
      <c r="K803" s="10"/>
      <c r="L803" s="10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>
      <c r="A804" s="19"/>
      <c r="B804" s="12"/>
      <c r="C804" s="10"/>
      <c r="D804" s="20"/>
      <c r="E804" s="10"/>
      <c r="F804" s="10"/>
      <c r="G804" s="10"/>
      <c r="H804" s="10"/>
      <c r="I804" s="10"/>
      <c r="J804" s="10"/>
      <c r="K804" s="10"/>
      <c r="L804" s="10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>
      <c r="A805" s="19"/>
      <c r="B805" s="12"/>
      <c r="C805" s="10"/>
      <c r="D805" s="20"/>
      <c r="E805" s="10"/>
      <c r="F805" s="10"/>
      <c r="G805" s="10"/>
      <c r="H805" s="10"/>
      <c r="I805" s="10"/>
      <c r="J805" s="10"/>
      <c r="K805" s="10"/>
      <c r="L805" s="10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>
      <c r="A806" s="19"/>
      <c r="B806" s="12"/>
      <c r="C806" s="10"/>
      <c r="D806" s="20"/>
      <c r="E806" s="10"/>
      <c r="F806" s="10"/>
      <c r="G806" s="10"/>
      <c r="H806" s="10"/>
      <c r="I806" s="10"/>
      <c r="J806" s="10"/>
      <c r="K806" s="10"/>
      <c r="L806" s="10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>
      <c r="A807" s="19"/>
      <c r="B807" s="12"/>
      <c r="C807" s="10"/>
      <c r="D807" s="20"/>
      <c r="E807" s="10"/>
      <c r="F807" s="10"/>
      <c r="G807" s="10"/>
      <c r="H807" s="10"/>
      <c r="I807" s="10"/>
      <c r="J807" s="10"/>
      <c r="K807" s="10"/>
      <c r="L807" s="10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>
      <c r="A808" s="19"/>
      <c r="B808" s="12"/>
      <c r="C808" s="10"/>
      <c r="D808" s="20"/>
      <c r="E808" s="10"/>
      <c r="F808" s="10"/>
      <c r="G808" s="10"/>
      <c r="H808" s="10"/>
      <c r="I808" s="10"/>
      <c r="J808" s="10"/>
      <c r="K808" s="10"/>
      <c r="L808" s="10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>
      <c r="A809" s="19"/>
      <c r="B809" s="12"/>
      <c r="C809" s="10"/>
      <c r="D809" s="20"/>
      <c r="E809" s="10"/>
      <c r="F809" s="10"/>
      <c r="G809" s="10"/>
      <c r="H809" s="10"/>
      <c r="I809" s="10"/>
      <c r="J809" s="10"/>
      <c r="K809" s="10"/>
      <c r="L809" s="10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>
      <c r="A810" s="19"/>
      <c r="B810" s="12"/>
      <c r="C810" s="10"/>
      <c r="D810" s="20"/>
      <c r="E810" s="10"/>
      <c r="F810" s="10"/>
      <c r="G810" s="10"/>
      <c r="H810" s="10"/>
      <c r="I810" s="10"/>
      <c r="J810" s="10"/>
      <c r="K810" s="10"/>
      <c r="L810" s="10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>
      <c r="A811" s="19"/>
      <c r="B811" s="12"/>
      <c r="C811" s="10"/>
      <c r="D811" s="20"/>
      <c r="E811" s="10"/>
      <c r="F811" s="10"/>
      <c r="G811" s="10"/>
      <c r="H811" s="10"/>
      <c r="I811" s="10"/>
      <c r="J811" s="10"/>
      <c r="K811" s="10"/>
      <c r="L811" s="10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>
      <c r="A812" s="19"/>
      <c r="B812" s="12"/>
      <c r="C812" s="10"/>
      <c r="D812" s="20"/>
      <c r="E812" s="10"/>
      <c r="F812" s="10"/>
      <c r="G812" s="10"/>
      <c r="H812" s="10"/>
      <c r="I812" s="10"/>
      <c r="J812" s="10"/>
      <c r="K812" s="10"/>
      <c r="L812" s="10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>
      <c r="A813" s="19"/>
      <c r="B813" s="12"/>
      <c r="C813" s="10"/>
      <c r="D813" s="20"/>
      <c r="E813" s="10"/>
      <c r="F813" s="10"/>
      <c r="G813" s="10"/>
      <c r="H813" s="10"/>
      <c r="I813" s="10"/>
      <c r="J813" s="10"/>
      <c r="K813" s="10"/>
      <c r="L813" s="10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>
      <c r="A814" s="19"/>
      <c r="B814" s="12"/>
      <c r="C814" s="10"/>
      <c r="D814" s="20"/>
      <c r="E814" s="10"/>
      <c r="F814" s="10"/>
      <c r="G814" s="10"/>
      <c r="H814" s="10"/>
      <c r="I814" s="10"/>
      <c r="J814" s="10"/>
      <c r="K814" s="10"/>
      <c r="L814" s="10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>
      <c r="A815" s="19"/>
      <c r="B815" s="12"/>
      <c r="C815" s="10"/>
      <c r="D815" s="20"/>
      <c r="E815" s="10"/>
      <c r="F815" s="10"/>
      <c r="G815" s="10"/>
      <c r="H815" s="10"/>
      <c r="I815" s="10"/>
      <c r="J815" s="10"/>
      <c r="K815" s="10"/>
      <c r="L815" s="10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>
      <c r="A816" s="19"/>
      <c r="B816" s="12"/>
      <c r="C816" s="10"/>
      <c r="D816" s="20"/>
      <c r="E816" s="10"/>
      <c r="F816" s="10"/>
      <c r="G816" s="10"/>
      <c r="H816" s="10"/>
      <c r="I816" s="10"/>
      <c r="J816" s="10"/>
      <c r="K816" s="10"/>
      <c r="L816" s="10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>
      <c r="A817" s="19"/>
      <c r="B817" s="12"/>
      <c r="C817" s="10"/>
      <c r="D817" s="20"/>
      <c r="E817" s="10"/>
      <c r="F817" s="10"/>
      <c r="G817" s="10"/>
      <c r="H817" s="10"/>
      <c r="I817" s="10"/>
      <c r="J817" s="10"/>
      <c r="K817" s="10"/>
      <c r="L817" s="10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>
      <c r="A818" s="19"/>
      <c r="B818" s="12"/>
      <c r="C818" s="10"/>
      <c r="D818" s="20"/>
      <c r="E818" s="10"/>
      <c r="F818" s="10"/>
      <c r="G818" s="10"/>
      <c r="H818" s="10"/>
      <c r="I818" s="10"/>
      <c r="J818" s="10"/>
      <c r="K818" s="10"/>
      <c r="L818" s="10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>
      <c r="A819" s="19"/>
      <c r="B819" s="12"/>
      <c r="C819" s="10"/>
      <c r="D819" s="20"/>
      <c r="E819" s="10"/>
      <c r="F819" s="10"/>
      <c r="G819" s="10"/>
      <c r="H819" s="10"/>
      <c r="I819" s="10"/>
      <c r="J819" s="10"/>
      <c r="K819" s="10"/>
      <c r="L819" s="10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>
      <c r="A820" s="19"/>
      <c r="B820" s="12"/>
      <c r="C820" s="10"/>
      <c r="D820" s="20"/>
      <c r="E820" s="10"/>
      <c r="F820" s="10"/>
      <c r="G820" s="10"/>
      <c r="H820" s="10"/>
      <c r="I820" s="10"/>
      <c r="J820" s="10"/>
      <c r="K820" s="10"/>
      <c r="L820" s="10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>
      <c r="A821" s="19"/>
      <c r="B821" s="12"/>
      <c r="C821" s="10"/>
      <c r="D821" s="20"/>
      <c r="E821" s="10"/>
      <c r="F821" s="10"/>
      <c r="G821" s="10"/>
      <c r="H821" s="10"/>
      <c r="I821" s="10"/>
      <c r="J821" s="10"/>
      <c r="K821" s="10"/>
      <c r="L821" s="10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>
      <c r="A822" s="19"/>
      <c r="B822" s="12"/>
      <c r="C822" s="10"/>
      <c r="D822" s="20"/>
      <c r="E822" s="10"/>
      <c r="F822" s="10"/>
      <c r="G822" s="10"/>
      <c r="H822" s="10"/>
      <c r="I822" s="10"/>
      <c r="J822" s="10"/>
      <c r="K822" s="10"/>
      <c r="L822" s="10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>
      <c r="A823" s="19"/>
      <c r="B823" s="12"/>
      <c r="C823" s="10"/>
      <c r="D823" s="20"/>
      <c r="E823" s="10"/>
      <c r="F823" s="10"/>
      <c r="G823" s="10"/>
      <c r="H823" s="10"/>
      <c r="I823" s="10"/>
      <c r="J823" s="10"/>
      <c r="K823" s="10"/>
      <c r="L823" s="10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>
      <c r="A824" s="19"/>
      <c r="B824" s="12"/>
      <c r="C824" s="10"/>
      <c r="D824" s="20"/>
      <c r="E824" s="10"/>
      <c r="F824" s="10"/>
      <c r="G824" s="10"/>
      <c r="H824" s="10"/>
      <c r="I824" s="10"/>
      <c r="J824" s="10"/>
      <c r="K824" s="10"/>
      <c r="L824" s="10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>
      <c r="A825" s="19"/>
      <c r="B825" s="12"/>
      <c r="C825" s="10"/>
      <c r="D825" s="20"/>
      <c r="E825" s="10"/>
      <c r="F825" s="10"/>
      <c r="G825" s="10"/>
      <c r="H825" s="10"/>
      <c r="I825" s="10"/>
      <c r="J825" s="10"/>
      <c r="K825" s="10"/>
      <c r="L825" s="10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>
      <c r="A826" s="19"/>
      <c r="B826" s="12"/>
      <c r="C826" s="10"/>
      <c r="D826" s="20"/>
      <c r="E826" s="10"/>
      <c r="F826" s="10"/>
      <c r="G826" s="10"/>
      <c r="H826" s="10"/>
      <c r="I826" s="10"/>
      <c r="J826" s="10"/>
      <c r="K826" s="10"/>
      <c r="L826" s="10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>
      <c r="A827" s="19"/>
      <c r="B827" s="12"/>
      <c r="C827" s="10"/>
      <c r="D827" s="20"/>
      <c r="E827" s="10"/>
      <c r="F827" s="10"/>
      <c r="G827" s="10"/>
      <c r="H827" s="10"/>
      <c r="I827" s="10"/>
      <c r="J827" s="10"/>
      <c r="K827" s="10"/>
      <c r="L827" s="10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>
      <c r="A828" s="19"/>
      <c r="B828" s="12"/>
      <c r="C828" s="10"/>
      <c r="D828" s="20"/>
      <c r="E828" s="10"/>
      <c r="F828" s="10"/>
      <c r="G828" s="10"/>
      <c r="H828" s="10"/>
      <c r="I828" s="10"/>
      <c r="J828" s="10"/>
      <c r="K828" s="10"/>
      <c r="L828" s="10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>
      <c r="A829" s="19"/>
      <c r="B829" s="12"/>
      <c r="C829" s="10"/>
      <c r="D829" s="20"/>
      <c r="E829" s="10"/>
      <c r="F829" s="10"/>
      <c r="G829" s="10"/>
      <c r="H829" s="10"/>
      <c r="I829" s="10"/>
      <c r="J829" s="10"/>
      <c r="K829" s="10"/>
      <c r="L829" s="10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>
      <c r="A830" s="19"/>
      <c r="B830" s="12"/>
      <c r="C830" s="10"/>
      <c r="D830" s="20"/>
      <c r="E830" s="10"/>
      <c r="F830" s="10"/>
      <c r="G830" s="10"/>
      <c r="H830" s="10"/>
      <c r="I830" s="10"/>
      <c r="J830" s="10"/>
      <c r="K830" s="10"/>
      <c r="L830" s="10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>
      <c r="A831" s="19"/>
      <c r="B831" s="12"/>
      <c r="C831" s="10"/>
      <c r="D831" s="20"/>
      <c r="E831" s="10"/>
      <c r="F831" s="10"/>
      <c r="G831" s="10"/>
      <c r="H831" s="10"/>
      <c r="I831" s="10"/>
      <c r="J831" s="10"/>
      <c r="K831" s="10"/>
      <c r="L831" s="10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>
      <c r="A832" s="19"/>
      <c r="B832" s="12"/>
      <c r="C832" s="10"/>
      <c r="D832" s="20"/>
      <c r="E832" s="10"/>
      <c r="F832" s="10"/>
      <c r="G832" s="10"/>
      <c r="H832" s="10"/>
      <c r="I832" s="10"/>
      <c r="J832" s="10"/>
      <c r="K832" s="10"/>
      <c r="L832" s="10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>
      <c r="A833" s="19"/>
      <c r="B833" s="12"/>
      <c r="C833" s="10"/>
      <c r="D833" s="20"/>
      <c r="E833" s="10"/>
      <c r="F833" s="10"/>
      <c r="G833" s="10"/>
      <c r="H833" s="10"/>
      <c r="I833" s="10"/>
      <c r="J833" s="10"/>
      <c r="K833" s="10"/>
      <c r="L833" s="10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>
      <c r="A834" s="19"/>
      <c r="B834" s="12"/>
      <c r="C834" s="10"/>
      <c r="D834" s="20"/>
      <c r="E834" s="10"/>
      <c r="F834" s="10"/>
      <c r="G834" s="10"/>
      <c r="H834" s="10"/>
      <c r="I834" s="10"/>
      <c r="J834" s="10"/>
      <c r="K834" s="10"/>
      <c r="L834" s="10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>
      <c r="A835" s="19"/>
      <c r="B835" s="12"/>
      <c r="C835" s="10"/>
      <c r="D835" s="20"/>
      <c r="E835" s="10"/>
      <c r="F835" s="10"/>
      <c r="G835" s="10"/>
      <c r="H835" s="10"/>
      <c r="I835" s="10"/>
      <c r="J835" s="10"/>
      <c r="K835" s="10"/>
      <c r="L835" s="10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>
      <c r="A836" s="19"/>
      <c r="B836" s="12"/>
      <c r="C836" s="10"/>
      <c r="D836" s="20"/>
      <c r="E836" s="10"/>
      <c r="F836" s="10"/>
      <c r="G836" s="10"/>
      <c r="H836" s="10"/>
      <c r="I836" s="10"/>
      <c r="J836" s="10"/>
      <c r="K836" s="10"/>
      <c r="L836" s="10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>
      <c r="A837" s="19"/>
      <c r="B837" s="12"/>
      <c r="C837" s="10"/>
      <c r="D837" s="20"/>
      <c r="E837" s="10"/>
      <c r="F837" s="10"/>
      <c r="G837" s="10"/>
      <c r="H837" s="10"/>
      <c r="I837" s="10"/>
      <c r="J837" s="10"/>
      <c r="K837" s="10"/>
      <c r="L837" s="10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>
      <c r="A838" s="19"/>
      <c r="B838" s="12"/>
      <c r="C838" s="10"/>
      <c r="D838" s="20"/>
      <c r="E838" s="10"/>
      <c r="F838" s="10"/>
      <c r="G838" s="10"/>
      <c r="H838" s="10"/>
      <c r="I838" s="10"/>
      <c r="J838" s="10"/>
      <c r="K838" s="10"/>
      <c r="L838" s="10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>
      <c r="A839" s="19"/>
      <c r="B839" s="12"/>
      <c r="C839" s="10"/>
      <c r="D839" s="20"/>
      <c r="E839" s="10"/>
      <c r="F839" s="10"/>
      <c r="G839" s="10"/>
      <c r="H839" s="10"/>
      <c r="I839" s="10"/>
      <c r="J839" s="10"/>
      <c r="K839" s="10"/>
      <c r="L839" s="10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>
      <c r="A840" s="19"/>
      <c r="B840" s="12"/>
      <c r="C840" s="10"/>
      <c r="D840" s="20"/>
      <c r="E840" s="10"/>
      <c r="F840" s="10"/>
      <c r="G840" s="10"/>
      <c r="H840" s="10"/>
      <c r="I840" s="10"/>
      <c r="J840" s="10"/>
      <c r="K840" s="10"/>
      <c r="L840" s="10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>
      <c r="A841" s="19"/>
      <c r="B841" s="12"/>
      <c r="C841" s="10"/>
      <c r="D841" s="20"/>
      <c r="E841" s="10"/>
      <c r="F841" s="10"/>
      <c r="G841" s="10"/>
      <c r="H841" s="10"/>
      <c r="I841" s="10"/>
      <c r="J841" s="10"/>
      <c r="K841" s="10"/>
      <c r="L841" s="10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>
      <c r="A842" s="19"/>
      <c r="B842" s="12"/>
      <c r="C842" s="10"/>
      <c r="D842" s="20"/>
      <c r="E842" s="10"/>
      <c r="F842" s="10"/>
      <c r="G842" s="10"/>
      <c r="H842" s="10"/>
      <c r="I842" s="10"/>
      <c r="J842" s="10"/>
      <c r="K842" s="10"/>
      <c r="L842" s="10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>
      <c r="A843" s="19"/>
      <c r="B843" s="12"/>
      <c r="C843" s="10"/>
      <c r="D843" s="20"/>
      <c r="E843" s="10"/>
      <c r="F843" s="10"/>
      <c r="G843" s="10"/>
      <c r="H843" s="10"/>
      <c r="I843" s="10"/>
      <c r="J843" s="10"/>
      <c r="K843" s="10"/>
      <c r="L843" s="10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>
      <c r="A844" s="19"/>
      <c r="B844" s="12"/>
      <c r="C844" s="10"/>
      <c r="D844" s="20"/>
      <c r="E844" s="10"/>
      <c r="F844" s="10"/>
      <c r="G844" s="10"/>
      <c r="H844" s="10"/>
      <c r="I844" s="10"/>
      <c r="J844" s="10"/>
      <c r="K844" s="10"/>
      <c r="L844" s="10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>
      <c r="A845" s="19"/>
      <c r="B845" s="12"/>
      <c r="C845" s="10"/>
      <c r="D845" s="20"/>
      <c r="E845" s="10"/>
      <c r="F845" s="10"/>
      <c r="G845" s="10"/>
      <c r="H845" s="10"/>
      <c r="I845" s="10"/>
      <c r="J845" s="10"/>
      <c r="K845" s="10"/>
      <c r="L845" s="10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>
      <c r="A846" s="19"/>
      <c r="B846" s="12"/>
      <c r="C846" s="10"/>
      <c r="D846" s="20"/>
      <c r="E846" s="10"/>
      <c r="F846" s="10"/>
      <c r="G846" s="10"/>
      <c r="H846" s="10"/>
      <c r="I846" s="10"/>
      <c r="J846" s="10"/>
      <c r="K846" s="10"/>
      <c r="L846" s="10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>
      <c r="A847" s="19"/>
      <c r="B847" s="12"/>
      <c r="C847" s="10"/>
      <c r="D847" s="20"/>
      <c r="E847" s="10"/>
      <c r="F847" s="10"/>
      <c r="G847" s="10"/>
      <c r="H847" s="10"/>
      <c r="I847" s="10"/>
      <c r="J847" s="10"/>
      <c r="K847" s="10"/>
      <c r="L847" s="10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>
      <c r="A848" s="19"/>
      <c r="B848" s="12"/>
      <c r="C848" s="10"/>
      <c r="D848" s="20"/>
      <c r="E848" s="10"/>
      <c r="F848" s="10"/>
      <c r="G848" s="10"/>
      <c r="H848" s="10"/>
      <c r="I848" s="10"/>
      <c r="J848" s="10"/>
      <c r="K848" s="10"/>
      <c r="L848" s="10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>
      <c r="A849" s="19"/>
      <c r="B849" s="12"/>
      <c r="C849" s="10"/>
      <c r="D849" s="20"/>
      <c r="E849" s="10"/>
      <c r="F849" s="10"/>
      <c r="G849" s="10"/>
      <c r="H849" s="10"/>
      <c r="I849" s="10"/>
      <c r="J849" s="10"/>
      <c r="K849" s="10"/>
      <c r="L849" s="10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>
      <c r="A850" s="19"/>
      <c r="B850" s="12"/>
      <c r="C850" s="10"/>
      <c r="D850" s="20"/>
      <c r="E850" s="10"/>
      <c r="F850" s="10"/>
      <c r="G850" s="10"/>
      <c r="H850" s="10"/>
      <c r="I850" s="10"/>
      <c r="J850" s="10"/>
      <c r="K850" s="10"/>
      <c r="L850" s="10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>
      <c r="A851" s="19"/>
      <c r="B851" s="12"/>
      <c r="C851" s="10"/>
      <c r="D851" s="20"/>
      <c r="E851" s="10"/>
      <c r="F851" s="10"/>
      <c r="G851" s="10"/>
      <c r="H851" s="10"/>
      <c r="I851" s="10"/>
      <c r="J851" s="10"/>
      <c r="K851" s="10"/>
      <c r="L851" s="10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>
      <c r="A852" s="19"/>
      <c r="B852" s="12"/>
      <c r="C852" s="10"/>
      <c r="D852" s="20"/>
      <c r="E852" s="10"/>
      <c r="F852" s="10"/>
      <c r="G852" s="10"/>
      <c r="H852" s="10"/>
      <c r="I852" s="10"/>
      <c r="J852" s="10"/>
      <c r="K852" s="10"/>
      <c r="L852" s="10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>
      <c r="A853" s="19"/>
      <c r="B853" s="12"/>
      <c r="C853" s="10"/>
      <c r="D853" s="20"/>
      <c r="E853" s="10"/>
      <c r="F853" s="10"/>
      <c r="G853" s="10"/>
      <c r="H853" s="10"/>
      <c r="I853" s="10"/>
      <c r="J853" s="10"/>
      <c r="K853" s="10"/>
      <c r="L853" s="10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>
      <c r="A854" s="19"/>
      <c r="B854" s="12"/>
      <c r="C854" s="10"/>
      <c r="D854" s="20"/>
      <c r="E854" s="10"/>
      <c r="F854" s="10"/>
      <c r="G854" s="10"/>
      <c r="H854" s="10"/>
      <c r="I854" s="10"/>
      <c r="J854" s="10"/>
      <c r="K854" s="10"/>
      <c r="L854" s="10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>
      <c r="A855" s="19"/>
      <c r="B855" s="12"/>
      <c r="C855" s="10"/>
      <c r="D855" s="20"/>
      <c r="E855" s="10"/>
      <c r="F855" s="10"/>
      <c r="G855" s="10"/>
      <c r="H855" s="10"/>
      <c r="I855" s="10"/>
      <c r="J855" s="10"/>
      <c r="K855" s="10"/>
      <c r="L855" s="10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>
      <c r="A856" s="19"/>
      <c r="B856" s="12"/>
      <c r="C856" s="10"/>
      <c r="D856" s="20"/>
      <c r="E856" s="10"/>
      <c r="F856" s="10"/>
      <c r="G856" s="10"/>
      <c r="H856" s="10"/>
      <c r="I856" s="10"/>
      <c r="J856" s="10"/>
      <c r="K856" s="10"/>
      <c r="L856" s="10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>
      <c r="A857" s="19"/>
      <c r="B857" s="12"/>
      <c r="C857" s="10"/>
      <c r="D857" s="20"/>
      <c r="E857" s="10"/>
      <c r="F857" s="10"/>
      <c r="G857" s="10"/>
      <c r="H857" s="10"/>
      <c r="I857" s="10"/>
      <c r="J857" s="10"/>
      <c r="K857" s="10"/>
      <c r="L857" s="10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>
      <c r="A858" s="19"/>
      <c r="B858" s="12"/>
      <c r="C858" s="10"/>
      <c r="D858" s="20"/>
      <c r="E858" s="10"/>
      <c r="F858" s="10"/>
      <c r="G858" s="10"/>
      <c r="H858" s="10"/>
      <c r="I858" s="10"/>
      <c r="J858" s="10"/>
      <c r="K858" s="10"/>
      <c r="L858" s="10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>
      <c r="A859" s="19"/>
      <c r="B859" s="12"/>
      <c r="C859" s="10"/>
      <c r="D859" s="20"/>
      <c r="E859" s="10"/>
      <c r="F859" s="10"/>
      <c r="G859" s="10"/>
      <c r="H859" s="10"/>
      <c r="I859" s="10"/>
      <c r="J859" s="10"/>
      <c r="K859" s="10"/>
      <c r="L859" s="10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>
      <c r="A860" s="19"/>
      <c r="B860" s="12"/>
      <c r="C860" s="10"/>
      <c r="D860" s="20"/>
      <c r="E860" s="10"/>
      <c r="F860" s="10"/>
      <c r="G860" s="10"/>
      <c r="H860" s="10"/>
      <c r="I860" s="10"/>
      <c r="J860" s="10"/>
      <c r="K860" s="10"/>
      <c r="L860" s="10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>
      <c r="A861" s="19"/>
      <c r="B861" s="12"/>
      <c r="C861" s="10"/>
      <c r="D861" s="20"/>
      <c r="E861" s="10"/>
      <c r="F861" s="10"/>
      <c r="G861" s="10"/>
      <c r="H861" s="10"/>
      <c r="I861" s="10"/>
      <c r="J861" s="10"/>
      <c r="K861" s="10"/>
      <c r="L861" s="10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>
      <c r="A862" s="19"/>
      <c r="B862" s="12"/>
      <c r="C862" s="10"/>
      <c r="D862" s="20"/>
      <c r="E862" s="10"/>
      <c r="F862" s="10"/>
      <c r="G862" s="10"/>
      <c r="H862" s="10"/>
      <c r="I862" s="10"/>
      <c r="J862" s="10"/>
      <c r="K862" s="10"/>
      <c r="L862" s="10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>
      <c r="A863" s="19"/>
      <c r="B863" s="12"/>
      <c r="C863" s="10"/>
      <c r="D863" s="20"/>
      <c r="E863" s="10"/>
      <c r="F863" s="10"/>
      <c r="G863" s="10"/>
      <c r="H863" s="10"/>
      <c r="I863" s="10"/>
      <c r="J863" s="10"/>
      <c r="K863" s="10"/>
      <c r="L863" s="10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>
      <c r="A864" s="19"/>
      <c r="B864" s="12"/>
      <c r="C864" s="10"/>
      <c r="D864" s="20"/>
      <c r="E864" s="10"/>
      <c r="F864" s="10"/>
      <c r="G864" s="10"/>
      <c r="H864" s="10"/>
      <c r="I864" s="10"/>
      <c r="J864" s="10"/>
      <c r="K864" s="10"/>
      <c r="L864" s="10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>
      <c r="A865" s="19"/>
      <c r="B865" s="12"/>
      <c r="C865" s="10"/>
      <c r="D865" s="20"/>
      <c r="E865" s="10"/>
      <c r="F865" s="10"/>
      <c r="G865" s="10"/>
      <c r="H865" s="10"/>
      <c r="I865" s="10"/>
      <c r="J865" s="10"/>
      <c r="K865" s="10"/>
      <c r="L865" s="10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>
      <c r="A866" s="19"/>
      <c r="B866" s="12"/>
      <c r="C866" s="10"/>
      <c r="D866" s="20"/>
      <c r="E866" s="10"/>
      <c r="F866" s="10"/>
      <c r="G866" s="10"/>
      <c r="H866" s="10"/>
      <c r="I866" s="10"/>
      <c r="J866" s="10"/>
      <c r="K866" s="10"/>
      <c r="L866" s="10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>
      <c r="A867" s="19"/>
      <c r="B867" s="12"/>
      <c r="C867" s="10"/>
      <c r="D867" s="20"/>
      <c r="E867" s="10"/>
      <c r="F867" s="10"/>
      <c r="G867" s="10"/>
      <c r="H867" s="10"/>
      <c r="I867" s="10"/>
      <c r="J867" s="10"/>
      <c r="K867" s="10"/>
      <c r="L867" s="10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>
      <c r="A868" s="19"/>
      <c r="B868" s="12"/>
      <c r="C868" s="10"/>
      <c r="D868" s="20"/>
      <c r="E868" s="10"/>
      <c r="F868" s="10"/>
      <c r="G868" s="10"/>
      <c r="H868" s="10"/>
      <c r="I868" s="10"/>
      <c r="J868" s="10"/>
      <c r="K868" s="10"/>
      <c r="L868" s="10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>
      <c r="A869" s="19"/>
      <c r="B869" s="12"/>
      <c r="C869" s="10"/>
      <c r="D869" s="20"/>
      <c r="E869" s="10"/>
      <c r="F869" s="10"/>
      <c r="G869" s="10"/>
      <c r="H869" s="10"/>
      <c r="I869" s="10"/>
      <c r="J869" s="10"/>
      <c r="K869" s="10"/>
      <c r="L869" s="10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>
      <c r="A870" s="19"/>
      <c r="B870" s="12"/>
      <c r="C870" s="10"/>
      <c r="D870" s="20"/>
      <c r="E870" s="10"/>
      <c r="F870" s="10"/>
      <c r="G870" s="10"/>
      <c r="H870" s="10"/>
      <c r="I870" s="10"/>
      <c r="J870" s="10"/>
      <c r="K870" s="10"/>
      <c r="L870" s="10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>
      <c r="A871" s="19"/>
      <c r="B871" s="12"/>
      <c r="C871" s="10"/>
      <c r="D871" s="20"/>
      <c r="E871" s="10"/>
      <c r="F871" s="10"/>
      <c r="G871" s="10"/>
      <c r="H871" s="10"/>
      <c r="I871" s="10"/>
      <c r="J871" s="10"/>
      <c r="K871" s="10"/>
      <c r="L871" s="10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>
      <c r="A872" s="19"/>
      <c r="B872" s="12"/>
      <c r="C872" s="10"/>
      <c r="D872" s="20"/>
      <c r="E872" s="10"/>
      <c r="F872" s="10"/>
      <c r="G872" s="10"/>
      <c r="H872" s="10"/>
      <c r="I872" s="10"/>
      <c r="J872" s="10"/>
      <c r="K872" s="10"/>
      <c r="L872" s="10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>
      <c r="A873" s="19"/>
      <c r="B873" s="12"/>
      <c r="C873" s="10"/>
      <c r="D873" s="20"/>
      <c r="E873" s="10"/>
      <c r="F873" s="10"/>
      <c r="G873" s="10"/>
      <c r="H873" s="10"/>
      <c r="I873" s="10"/>
      <c r="J873" s="10"/>
      <c r="K873" s="10"/>
      <c r="L873" s="10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>
      <c r="A874" s="19"/>
      <c r="B874" s="12"/>
      <c r="C874" s="10"/>
      <c r="D874" s="20"/>
      <c r="E874" s="10"/>
      <c r="F874" s="10"/>
      <c r="G874" s="10"/>
      <c r="H874" s="10"/>
      <c r="I874" s="10"/>
      <c r="J874" s="10"/>
      <c r="K874" s="10"/>
      <c r="L874" s="10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>
      <c r="A875" s="19"/>
      <c r="B875" s="12"/>
      <c r="C875" s="10"/>
      <c r="D875" s="20"/>
      <c r="E875" s="10"/>
      <c r="F875" s="10"/>
      <c r="G875" s="10"/>
      <c r="H875" s="10"/>
      <c r="I875" s="10"/>
      <c r="J875" s="10"/>
      <c r="K875" s="10"/>
      <c r="L875" s="10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>
      <c r="A876" s="19"/>
      <c r="B876" s="12"/>
      <c r="C876" s="10"/>
      <c r="D876" s="20"/>
      <c r="E876" s="10"/>
      <c r="F876" s="10"/>
      <c r="G876" s="10"/>
      <c r="H876" s="10"/>
      <c r="I876" s="10"/>
      <c r="J876" s="10"/>
      <c r="K876" s="10"/>
      <c r="L876" s="10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>
      <c r="A877" s="19"/>
      <c r="B877" s="12"/>
      <c r="C877" s="10"/>
      <c r="D877" s="20"/>
      <c r="E877" s="10"/>
      <c r="F877" s="10"/>
      <c r="G877" s="10"/>
      <c r="H877" s="10"/>
      <c r="I877" s="10"/>
      <c r="J877" s="10"/>
      <c r="K877" s="10"/>
      <c r="L877" s="10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>
      <c r="A878" s="19"/>
      <c r="B878" s="12"/>
      <c r="C878" s="10"/>
      <c r="D878" s="20"/>
      <c r="E878" s="10"/>
      <c r="F878" s="10"/>
      <c r="G878" s="10"/>
      <c r="H878" s="10"/>
      <c r="I878" s="10"/>
      <c r="J878" s="10"/>
      <c r="K878" s="10"/>
      <c r="L878" s="10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>
      <c r="A879" s="19"/>
      <c r="B879" s="12"/>
      <c r="C879" s="10"/>
      <c r="D879" s="20"/>
      <c r="E879" s="10"/>
      <c r="F879" s="10"/>
      <c r="G879" s="10"/>
      <c r="H879" s="10"/>
      <c r="I879" s="10"/>
      <c r="J879" s="10"/>
      <c r="K879" s="10"/>
      <c r="L879" s="10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>
      <c r="A880" s="19"/>
      <c r="B880" s="12"/>
      <c r="C880" s="10"/>
      <c r="D880" s="20"/>
      <c r="E880" s="10"/>
      <c r="F880" s="10"/>
      <c r="G880" s="10"/>
      <c r="H880" s="10"/>
      <c r="I880" s="10"/>
      <c r="J880" s="10"/>
      <c r="K880" s="10"/>
      <c r="L880" s="10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>
      <c r="A881" s="19"/>
      <c r="B881" s="12"/>
      <c r="C881" s="10"/>
      <c r="D881" s="20"/>
      <c r="E881" s="10"/>
      <c r="F881" s="10"/>
      <c r="G881" s="10"/>
      <c r="H881" s="10"/>
      <c r="I881" s="10"/>
      <c r="J881" s="10"/>
      <c r="K881" s="10"/>
      <c r="L881" s="10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>
      <c r="A882" s="19"/>
      <c r="B882" s="12"/>
      <c r="C882" s="10"/>
      <c r="D882" s="20"/>
      <c r="E882" s="10"/>
      <c r="F882" s="10"/>
      <c r="G882" s="10"/>
      <c r="H882" s="10"/>
      <c r="I882" s="10"/>
      <c r="J882" s="10"/>
      <c r="K882" s="10"/>
      <c r="L882" s="10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>
      <c r="A883" s="19"/>
      <c r="B883" s="12"/>
      <c r="C883" s="10"/>
      <c r="D883" s="20"/>
      <c r="E883" s="10"/>
      <c r="F883" s="10"/>
      <c r="G883" s="10"/>
      <c r="H883" s="10"/>
      <c r="I883" s="10"/>
      <c r="J883" s="10"/>
      <c r="K883" s="10"/>
      <c r="L883" s="10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>
      <c r="A884" s="19"/>
      <c r="B884" s="12"/>
      <c r="C884" s="10"/>
      <c r="D884" s="20"/>
      <c r="E884" s="10"/>
      <c r="F884" s="10"/>
      <c r="G884" s="10"/>
      <c r="H884" s="10"/>
      <c r="I884" s="10"/>
      <c r="J884" s="10"/>
      <c r="K884" s="10"/>
      <c r="L884" s="10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>
      <c r="A885" s="19"/>
      <c r="B885" s="12"/>
      <c r="C885" s="10"/>
      <c r="D885" s="20"/>
      <c r="E885" s="10"/>
      <c r="F885" s="10"/>
      <c r="G885" s="10"/>
      <c r="H885" s="10"/>
      <c r="I885" s="10"/>
      <c r="J885" s="10"/>
      <c r="K885" s="10"/>
      <c r="L885" s="10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>
      <c r="A886" s="19"/>
      <c r="B886" s="12"/>
      <c r="C886" s="10"/>
      <c r="D886" s="20"/>
      <c r="E886" s="10"/>
      <c r="F886" s="10"/>
      <c r="G886" s="10"/>
      <c r="H886" s="10"/>
      <c r="I886" s="10"/>
      <c r="J886" s="10"/>
      <c r="K886" s="10"/>
      <c r="L886" s="10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>
      <c r="A887" s="19"/>
      <c r="B887" s="12"/>
      <c r="C887" s="10"/>
      <c r="D887" s="20"/>
      <c r="E887" s="10"/>
      <c r="F887" s="10"/>
      <c r="G887" s="10"/>
      <c r="H887" s="10"/>
      <c r="I887" s="10"/>
      <c r="J887" s="10"/>
      <c r="K887" s="10"/>
      <c r="L887" s="10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>
      <c r="A888" s="19"/>
      <c r="B888" s="12"/>
      <c r="C888" s="10"/>
      <c r="D888" s="20"/>
      <c r="E888" s="10"/>
      <c r="F888" s="10"/>
      <c r="G888" s="10"/>
      <c r="H888" s="10"/>
      <c r="I888" s="10"/>
      <c r="J888" s="10"/>
      <c r="K888" s="10"/>
      <c r="L888" s="10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>
      <c r="A889" s="19"/>
      <c r="B889" s="12"/>
      <c r="C889" s="10"/>
      <c r="D889" s="20"/>
      <c r="E889" s="10"/>
      <c r="F889" s="10"/>
      <c r="G889" s="10"/>
      <c r="H889" s="10"/>
      <c r="I889" s="10"/>
      <c r="J889" s="10"/>
      <c r="K889" s="10"/>
      <c r="L889" s="10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>
      <c r="A890" s="19"/>
      <c r="B890" s="12"/>
      <c r="C890" s="10"/>
      <c r="D890" s="20"/>
      <c r="E890" s="10"/>
      <c r="F890" s="10"/>
      <c r="G890" s="10"/>
      <c r="H890" s="10"/>
      <c r="I890" s="10"/>
      <c r="J890" s="10"/>
      <c r="K890" s="10"/>
      <c r="L890" s="10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>
      <c r="A891" s="19"/>
      <c r="B891" s="12"/>
      <c r="C891" s="10"/>
      <c r="D891" s="20"/>
      <c r="E891" s="10"/>
      <c r="F891" s="10"/>
      <c r="G891" s="10"/>
      <c r="H891" s="10"/>
      <c r="I891" s="10"/>
      <c r="J891" s="10"/>
      <c r="K891" s="10"/>
      <c r="L891" s="10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>
      <c r="A892" s="19"/>
      <c r="B892" s="12"/>
      <c r="C892" s="10"/>
      <c r="D892" s="20"/>
      <c r="E892" s="10"/>
      <c r="F892" s="10"/>
      <c r="G892" s="10"/>
      <c r="H892" s="10"/>
      <c r="I892" s="10"/>
      <c r="J892" s="10"/>
      <c r="K892" s="10"/>
      <c r="L892" s="10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>
      <c r="A893" s="19"/>
      <c r="B893" s="12"/>
      <c r="C893" s="10"/>
      <c r="D893" s="20"/>
      <c r="E893" s="10"/>
      <c r="F893" s="10"/>
      <c r="G893" s="10"/>
      <c r="H893" s="10"/>
      <c r="I893" s="10"/>
      <c r="J893" s="10"/>
      <c r="K893" s="10"/>
      <c r="L893" s="10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>
      <c r="A894" s="19"/>
      <c r="B894" s="12"/>
      <c r="C894" s="10"/>
      <c r="D894" s="20"/>
      <c r="E894" s="10"/>
      <c r="F894" s="10"/>
      <c r="G894" s="10"/>
      <c r="H894" s="10"/>
      <c r="I894" s="10"/>
      <c r="J894" s="10"/>
      <c r="K894" s="10"/>
      <c r="L894" s="10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>
      <c r="A895" s="19"/>
      <c r="B895" s="12"/>
      <c r="C895" s="10"/>
      <c r="D895" s="20"/>
      <c r="E895" s="10"/>
      <c r="F895" s="10"/>
      <c r="G895" s="10"/>
      <c r="H895" s="10"/>
      <c r="I895" s="10"/>
      <c r="J895" s="10"/>
      <c r="K895" s="10"/>
      <c r="L895" s="10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>
      <c r="A896" s="19"/>
      <c r="B896" s="12"/>
      <c r="C896" s="10"/>
      <c r="D896" s="20"/>
      <c r="E896" s="10"/>
      <c r="F896" s="10"/>
      <c r="G896" s="10"/>
      <c r="H896" s="10"/>
      <c r="I896" s="10"/>
      <c r="J896" s="10"/>
      <c r="K896" s="10"/>
      <c r="L896" s="10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>
      <c r="A897" s="19"/>
      <c r="B897" s="12"/>
      <c r="C897" s="10"/>
      <c r="D897" s="20"/>
      <c r="E897" s="10"/>
      <c r="F897" s="10"/>
      <c r="G897" s="10"/>
      <c r="H897" s="10"/>
      <c r="I897" s="10"/>
      <c r="J897" s="10"/>
      <c r="K897" s="10"/>
      <c r="L897" s="10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>
      <c r="A898" s="19"/>
      <c r="B898" s="12"/>
      <c r="C898" s="10"/>
      <c r="D898" s="20"/>
      <c r="E898" s="10"/>
      <c r="F898" s="10"/>
      <c r="G898" s="10"/>
      <c r="H898" s="10"/>
      <c r="I898" s="10"/>
      <c r="J898" s="10"/>
      <c r="K898" s="10"/>
      <c r="L898" s="10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>
      <c r="A899" s="19"/>
      <c r="B899" s="12"/>
      <c r="C899" s="10"/>
      <c r="D899" s="20"/>
      <c r="E899" s="10"/>
      <c r="F899" s="10"/>
      <c r="G899" s="10"/>
      <c r="H899" s="10"/>
      <c r="I899" s="10"/>
      <c r="J899" s="10"/>
      <c r="K899" s="10"/>
      <c r="L899" s="10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>
      <c r="A900" s="19"/>
      <c r="B900" s="12"/>
      <c r="C900" s="10"/>
      <c r="D900" s="20"/>
      <c r="E900" s="10"/>
      <c r="F900" s="10"/>
      <c r="G900" s="10"/>
      <c r="H900" s="10"/>
      <c r="I900" s="10"/>
      <c r="J900" s="10"/>
      <c r="K900" s="10"/>
      <c r="L900" s="10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>
      <c r="A901" s="19"/>
      <c r="B901" s="12"/>
      <c r="C901" s="10"/>
      <c r="D901" s="20"/>
      <c r="E901" s="10"/>
      <c r="F901" s="10"/>
      <c r="G901" s="10"/>
      <c r="H901" s="10"/>
      <c r="I901" s="10"/>
      <c r="J901" s="10"/>
      <c r="K901" s="10"/>
      <c r="L901" s="10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>
      <c r="A902" s="19"/>
      <c r="B902" s="12"/>
      <c r="C902" s="10"/>
      <c r="D902" s="20"/>
      <c r="E902" s="10"/>
      <c r="F902" s="10"/>
      <c r="G902" s="10"/>
      <c r="H902" s="10"/>
      <c r="I902" s="10"/>
      <c r="J902" s="10"/>
      <c r="K902" s="10"/>
      <c r="L902" s="10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>
      <c r="A903" s="19"/>
      <c r="B903" s="12"/>
      <c r="C903" s="10"/>
      <c r="D903" s="20"/>
      <c r="E903" s="10"/>
      <c r="F903" s="10"/>
      <c r="G903" s="10"/>
      <c r="H903" s="10"/>
      <c r="I903" s="10"/>
      <c r="J903" s="10"/>
      <c r="K903" s="10"/>
      <c r="L903" s="10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>
      <c r="A904" s="19"/>
      <c r="B904" s="12"/>
      <c r="C904" s="10"/>
      <c r="D904" s="20"/>
      <c r="E904" s="10"/>
      <c r="F904" s="10"/>
      <c r="G904" s="10"/>
      <c r="H904" s="10"/>
      <c r="I904" s="10"/>
      <c r="J904" s="10"/>
      <c r="K904" s="10"/>
      <c r="L904" s="10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>
      <c r="A905" s="19"/>
      <c r="B905" s="12"/>
      <c r="C905" s="10"/>
      <c r="D905" s="20"/>
      <c r="E905" s="10"/>
      <c r="F905" s="10"/>
      <c r="G905" s="10"/>
      <c r="H905" s="10"/>
      <c r="I905" s="10"/>
      <c r="J905" s="10"/>
      <c r="K905" s="10"/>
      <c r="L905" s="10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>
      <c r="A906" s="19"/>
      <c r="B906" s="12"/>
      <c r="C906" s="10"/>
      <c r="D906" s="20"/>
      <c r="E906" s="10"/>
      <c r="F906" s="10"/>
      <c r="G906" s="10"/>
      <c r="H906" s="10"/>
      <c r="I906" s="10"/>
      <c r="J906" s="10"/>
      <c r="K906" s="10"/>
      <c r="L906" s="10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>
      <c r="A907" s="19"/>
      <c r="B907" s="12"/>
      <c r="C907" s="10"/>
      <c r="D907" s="20"/>
      <c r="E907" s="10"/>
      <c r="F907" s="10"/>
      <c r="G907" s="10"/>
      <c r="H907" s="10"/>
      <c r="I907" s="10"/>
      <c r="J907" s="10"/>
      <c r="K907" s="10"/>
      <c r="L907" s="10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>
      <c r="A908" s="19"/>
      <c r="B908" s="12"/>
      <c r="C908" s="10"/>
      <c r="D908" s="20"/>
      <c r="E908" s="10"/>
      <c r="F908" s="10"/>
      <c r="G908" s="10"/>
      <c r="H908" s="10"/>
      <c r="I908" s="10"/>
      <c r="J908" s="10"/>
      <c r="K908" s="10"/>
      <c r="L908" s="10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>
      <c r="A909" s="19"/>
      <c r="B909" s="12"/>
      <c r="C909" s="10"/>
      <c r="D909" s="20"/>
      <c r="E909" s="10"/>
      <c r="F909" s="10"/>
      <c r="G909" s="10"/>
      <c r="H909" s="10"/>
      <c r="I909" s="10"/>
      <c r="J909" s="10"/>
      <c r="K909" s="10"/>
      <c r="L909" s="10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>
      <c r="A910" s="19"/>
      <c r="B910" s="12"/>
      <c r="C910" s="10"/>
      <c r="D910" s="20"/>
      <c r="E910" s="10"/>
      <c r="F910" s="10"/>
      <c r="G910" s="10"/>
      <c r="H910" s="10"/>
      <c r="I910" s="10"/>
      <c r="J910" s="10"/>
      <c r="K910" s="10"/>
      <c r="L910" s="10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>
      <c r="A911" s="19"/>
      <c r="B911" s="12"/>
      <c r="C911" s="10"/>
      <c r="D911" s="20"/>
      <c r="E911" s="10"/>
      <c r="F911" s="10"/>
      <c r="G911" s="10"/>
      <c r="H911" s="10"/>
      <c r="I911" s="10"/>
      <c r="J911" s="10"/>
      <c r="K911" s="10"/>
      <c r="L911" s="10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>
      <c r="A912" s="19"/>
      <c r="B912" s="12"/>
      <c r="C912" s="10"/>
      <c r="D912" s="20"/>
      <c r="E912" s="10"/>
      <c r="F912" s="10"/>
      <c r="G912" s="10"/>
      <c r="H912" s="10"/>
      <c r="I912" s="10"/>
      <c r="J912" s="10"/>
      <c r="K912" s="10"/>
      <c r="L912" s="10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>
      <c r="A913" s="19"/>
      <c r="B913" s="12"/>
      <c r="C913" s="10"/>
      <c r="D913" s="20"/>
      <c r="E913" s="10"/>
      <c r="F913" s="10"/>
      <c r="G913" s="10"/>
      <c r="H913" s="10"/>
      <c r="I913" s="10"/>
      <c r="J913" s="10"/>
      <c r="K913" s="10"/>
      <c r="L913" s="10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>
      <c r="A914" s="19"/>
      <c r="B914" s="12"/>
      <c r="C914" s="10"/>
      <c r="D914" s="20"/>
      <c r="E914" s="10"/>
      <c r="F914" s="10"/>
      <c r="G914" s="10"/>
      <c r="H914" s="10"/>
      <c r="I914" s="10"/>
      <c r="J914" s="10"/>
      <c r="K914" s="10"/>
      <c r="L914" s="10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>
      <c r="A915" s="19"/>
      <c r="B915" s="12"/>
      <c r="C915" s="10"/>
      <c r="D915" s="20"/>
      <c r="E915" s="10"/>
      <c r="F915" s="10"/>
      <c r="G915" s="10"/>
      <c r="H915" s="10"/>
      <c r="I915" s="10"/>
      <c r="J915" s="10"/>
      <c r="K915" s="10"/>
      <c r="L915" s="10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>
      <c r="A916" s="19"/>
      <c r="B916" s="12"/>
      <c r="C916" s="10"/>
      <c r="D916" s="20"/>
      <c r="E916" s="10"/>
      <c r="F916" s="10"/>
      <c r="G916" s="10"/>
      <c r="H916" s="10"/>
      <c r="I916" s="10"/>
      <c r="J916" s="10"/>
      <c r="K916" s="10"/>
      <c r="L916" s="10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>
      <c r="A917" s="19"/>
      <c r="B917" s="12"/>
      <c r="C917" s="10"/>
      <c r="D917" s="20"/>
      <c r="E917" s="10"/>
      <c r="F917" s="10"/>
      <c r="G917" s="10"/>
      <c r="H917" s="10"/>
      <c r="I917" s="10"/>
      <c r="J917" s="10"/>
      <c r="K917" s="10"/>
      <c r="L917" s="10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>
      <c r="A918" s="19"/>
      <c r="B918" s="12"/>
      <c r="C918" s="10"/>
      <c r="D918" s="20"/>
      <c r="E918" s="10"/>
      <c r="F918" s="10"/>
      <c r="G918" s="10"/>
      <c r="H918" s="10"/>
      <c r="I918" s="10"/>
      <c r="J918" s="10"/>
      <c r="K918" s="10"/>
      <c r="L918" s="10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>
      <c r="A919" s="19"/>
      <c r="B919" s="12"/>
      <c r="C919" s="10"/>
      <c r="D919" s="20"/>
      <c r="E919" s="10"/>
      <c r="F919" s="10"/>
      <c r="G919" s="10"/>
      <c r="H919" s="10"/>
      <c r="I919" s="10"/>
      <c r="J919" s="10"/>
      <c r="K919" s="10"/>
      <c r="L919" s="10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>
      <c r="A920" s="19"/>
      <c r="B920" s="12"/>
      <c r="C920" s="10"/>
      <c r="D920" s="20"/>
      <c r="E920" s="10"/>
      <c r="F920" s="10"/>
      <c r="G920" s="10"/>
      <c r="H920" s="10"/>
      <c r="I920" s="10"/>
      <c r="J920" s="10"/>
      <c r="K920" s="10"/>
      <c r="L920" s="10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>
      <c r="A921" s="19"/>
      <c r="B921" s="12"/>
      <c r="C921" s="10"/>
      <c r="D921" s="20"/>
      <c r="E921" s="10"/>
      <c r="F921" s="10"/>
      <c r="G921" s="10"/>
      <c r="H921" s="10"/>
      <c r="I921" s="10"/>
      <c r="J921" s="10"/>
      <c r="K921" s="10"/>
      <c r="L921" s="10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>
      <c r="A922" s="19"/>
      <c r="B922" s="12"/>
      <c r="C922" s="10"/>
      <c r="D922" s="20"/>
      <c r="E922" s="10"/>
      <c r="F922" s="10"/>
      <c r="G922" s="10"/>
      <c r="H922" s="10"/>
      <c r="I922" s="10"/>
      <c r="J922" s="10"/>
      <c r="K922" s="10"/>
      <c r="L922" s="10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>
      <c r="A923" s="19"/>
      <c r="B923" s="12"/>
      <c r="C923" s="10"/>
      <c r="D923" s="20"/>
      <c r="E923" s="10"/>
      <c r="F923" s="10"/>
      <c r="G923" s="10"/>
      <c r="H923" s="10"/>
      <c r="I923" s="10"/>
      <c r="J923" s="10"/>
      <c r="K923" s="10"/>
      <c r="L923" s="10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>
      <c r="A924" s="19"/>
      <c r="B924" s="12"/>
      <c r="C924" s="10"/>
      <c r="D924" s="20"/>
      <c r="E924" s="10"/>
      <c r="F924" s="10"/>
      <c r="G924" s="10"/>
      <c r="H924" s="10"/>
      <c r="I924" s="10"/>
      <c r="J924" s="10"/>
      <c r="K924" s="10"/>
      <c r="L924" s="10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>
      <c r="A925" s="19"/>
      <c r="B925" s="12"/>
      <c r="C925" s="10"/>
      <c r="D925" s="20"/>
      <c r="E925" s="10"/>
      <c r="F925" s="10"/>
      <c r="G925" s="10"/>
      <c r="H925" s="10"/>
      <c r="I925" s="10"/>
      <c r="J925" s="10"/>
      <c r="K925" s="10"/>
      <c r="L925" s="10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>
      <c r="A926" s="19"/>
      <c r="B926" s="12"/>
      <c r="C926" s="10"/>
      <c r="D926" s="20"/>
      <c r="E926" s="10"/>
      <c r="F926" s="10"/>
      <c r="G926" s="10"/>
      <c r="H926" s="10"/>
      <c r="I926" s="10"/>
      <c r="J926" s="10"/>
      <c r="K926" s="10"/>
      <c r="L926" s="10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>
      <c r="A927" s="19"/>
      <c r="B927" s="12"/>
      <c r="C927" s="10"/>
      <c r="D927" s="20"/>
      <c r="E927" s="10"/>
      <c r="F927" s="10"/>
      <c r="G927" s="10"/>
      <c r="H927" s="10"/>
      <c r="I927" s="10"/>
      <c r="J927" s="10"/>
      <c r="K927" s="10"/>
      <c r="L927" s="10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>
      <c r="A928" s="19"/>
      <c r="B928" s="12"/>
      <c r="C928" s="10"/>
      <c r="D928" s="20"/>
      <c r="E928" s="10"/>
      <c r="F928" s="10"/>
      <c r="G928" s="10"/>
      <c r="H928" s="10"/>
      <c r="I928" s="10"/>
      <c r="J928" s="10"/>
      <c r="K928" s="10"/>
      <c r="L928" s="10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>
      <c r="A929" s="19"/>
      <c r="B929" s="12"/>
      <c r="C929" s="10"/>
      <c r="D929" s="20"/>
      <c r="E929" s="10"/>
      <c r="F929" s="10"/>
      <c r="G929" s="10"/>
      <c r="H929" s="10"/>
      <c r="I929" s="10"/>
      <c r="J929" s="10"/>
      <c r="K929" s="10"/>
      <c r="L929" s="10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>
      <c r="A930" s="19"/>
      <c r="B930" s="12"/>
      <c r="C930" s="10"/>
      <c r="D930" s="20"/>
      <c r="E930" s="10"/>
      <c r="F930" s="10"/>
      <c r="G930" s="10"/>
      <c r="H930" s="10"/>
      <c r="I930" s="10"/>
      <c r="J930" s="10"/>
      <c r="K930" s="10"/>
      <c r="L930" s="10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>
      <c r="A931" s="19"/>
      <c r="B931" s="12"/>
      <c r="C931" s="10"/>
      <c r="D931" s="20"/>
      <c r="E931" s="10"/>
      <c r="F931" s="10"/>
      <c r="G931" s="10"/>
      <c r="H931" s="10"/>
      <c r="I931" s="10"/>
      <c r="J931" s="10"/>
      <c r="K931" s="10"/>
      <c r="L931" s="10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>
      <c r="A932" s="19"/>
      <c r="B932" s="12"/>
      <c r="C932" s="10"/>
      <c r="D932" s="20"/>
      <c r="E932" s="10"/>
      <c r="F932" s="10"/>
      <c r="G932" s="10"/>
      <c r="H932" s="10"/>
      <c r="I932" s="10"/>
      <c r="J932" s="10"/>
      <c r="K932" s="10"/>
      <c r="L932" s="10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>
      <c r="A933" s="19"/>
      <c r="B933" s="12"/>
      <c r="C933" s="10"/>
      <c r="D933" s="20"/>
      <c r="E933" s="10"/>
      <c r="F933" s="10"/>
      <c r="G933" s="10"/>
      <c r="H933" s="10"/>
      <c r="I933" s="10"/>
      <c r="J933" s="10"/>
      <c r="K933" s="10"/>
      <c r="L933" s="10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>
      <c r="A934" s="19"/>
      <c r="B934" s="12"/>
      <c r="C934" s="10"/>
      <c r="D934" s="20"/>
      <c r="E934" s="10"/>
      <c r="F934" s="10"/>
      <c r="G934" s="10"/>
      <c r="H934" s="10"/>
      <c r="I934" s="10"/>
      <c r="J934" s="10"/>
      <c r="K934" s="10"/>
      <c r="L934" s="10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>
      <c r="A935" s="19"/>
      <c r="B935" s="12"/>
      <c r="C935" s="10"/>
      <c r="D935" s="20"/>
      <c r="E935" s="10"/>
      <c r="F935" s="10"/>
      <c r="G935" s="10"/>
      <c r="H935" s="10"/>
      <c r="I935" s="10"/>
      <c r="J935" s="10"/>
      <c r="K935" s="10"/>
      <c r="L935" s="10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>
      <c r="A936" s="19"/>
      <c r="B936" s="12"/>
      <c r="C936" s="10"/>
      <c r="D936" s="20"/>
      <c r="E936" s="10"/>
      <c r="F936" s="10"/>
      <c r="G936" s="10"/>
      <c r="H936" s="10"/>
      <c r="I936" s="10"/>
      <c r="J936" s="10"/>
      <c r="K936" s="10"/>
      <c r="L936" s="10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>
      <c r="A937" s="19"/>
      <c r="B937" s="12"/>
      <c r="C937" s="10"/>
      <c r="D937" s="20"/>
      <c r="E937" s="10"/>
      <c r="F937" s="10"/>
      <c r="G937" s="10"/>
      <c r="H937" s="10"/>
      <c r="I937" s="10"/>
      <c r="J937" s="10"/>
      <c r="K937" s="10"/>
      <c r="L937" s="10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>
      <c r="A938" s="19"/>
      <c r="B938" s="12"/>
      <c r="C938" s="10"/>
      <c r="D938" s="20"/>
      <c r="E938" s="10"/>
      <c r="F938" s="10"/>
      <c r="G938" s="10"/>
      <c r="H938" s="10"/>
      <c r="I938" s="10"/>
      <c r="J938" s="10"/>
      <c r="K938" s="10"/>
      <c r="L938" s="10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>
      <c r="A939" s="19"/>
      <c r="B939" s="12"/>
      <c r="C939" s="10"/>
      <c r="D939" s="20"/>
      <c r="E939" s="10"/>
      <c r="F939" s="10"/>
      <c r="G939" s="10"/>
      <c r="H939" s="10"/>
      <c r="I939" s="10"/>
      <c r="J939" s="10"/>
      <c r="K939" s="10"/>
      <c r="L939" s="10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>
      <c r="A940" s="19"/>
      <c r="B940" s="12"/>
      <c r="C940" s="10"/>
      <c r="D940" s="20"/>
      <c r="E940" s="10"/>
      <c r="F940" s="10"/>
      <c r="G940" s="10"/>
      <c r="H940" s="10"/>
      <c r="I940" s="10"/>
      <c r="J940" s="10"/>
      <c r="K940" s="10"/>
      <c r="L940" s="10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>
      <c r="A941" s="19"/>
      <c r="B941" s="12"/>
      <c r="C941" s="10"/>
      <c r="D941" s="20"/>
      <c r="E941" s="10"/>
      <c r="F941" s="10"/>
      <c r="G941" s="10"/>
      <c r="H941" s="10"/>
      <c r="I941" s="10"/>
      <c r="J941" s="10"/>
      <c r="K941" s="10"/>
      <c r="L941" s="10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>
      <c r="A942" s="19"/>
      <c r="B942" s="12"/>
      <c r="C942" s="10"/>
      <c r="D942" s="20"/>
      <c r="E942" s="10"/>
      <c r="F942" s="10"/>
      <c r="G942" s="10"/>
      <c r="H942" s="10"/>
      <c r="I942" s="10"/>
      <c r="J942" s="10"/>
      <c r="K942" s="10"/>
      <c r="L942" s="10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>
      <c r="A943" s="19"/>
      <c r="B943" s="12"/>
      <c r="C943" s="10"/>
      <c r="D943" s="20"/>
      <c r="E943" s="10"/>
      <c r="F943" s="10"/>
      <c r="G943" s="10"/>
      <c r="H943" s="10"/>
      <c r="I943" s="10"/>
      <c r="J943" s="10"/>
      <c r="K943" s="10"/>
      <c r="L943" s="10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>
      <c r="A944" s="19"/>
      <c r="B944" s="12"/>
      <c r="C944" s="10"/>
      <c r="D944" s="20"/>
      <c r="E944" s="10"/>
      <c r="F944" s="10"/>
      <c r="G944" s="10"/>
      <c r="H944" s="10"/>
      <c r="I944" s="10"/>
      <c r="J944" s="10"/>
      <c r="K944" s="10"/>
      <c r="L944" s="10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>
      <c r="A945" s="19"/>
      <c r="B945" s="12"/>
      <c r="C945" s="10"/>
      <c r="D945" s="20"/>
      <c r="E945" s="10"/>
      <c r="F945" s="10"/>
      <c r="G945" s="10"/>
      <c r="H945" s="10"/>
      <c r="I945" s="10"/>
      <c r="J945" s="10"/>
      <c r="K945" s="10"/>
      <c r="L945" s="10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>
      <c r="A946" s="19"/>
      <c r="B946" s="12"/>
      <c r="C946" s="10"/>
      <c r="D946" s="20"/>
      <c r="E946" s="10"/>
      <c r="F946" s="10"/>
      <c r="G946" s="10"/>
      <c r="H946" s="10"/>
      <c r="I946" s="10"/>
      <c r="J946" s="10"/>
      <c r="K946" s="10"/>
      <c r="L946" s="10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>
      <c r="A947" s="19"/>
      <c r="B947" s="12"/>
      <c r="C947" s="10"/>
      <c r="D947" s="20"/>
      <c r="E947" s="10"/>
      <c r="F947" s="10"/>
      <c r="G947" s="10"/>
      <c r="H947" s="10"/>
      <c r="I947" s="10"/>
      <c r="J947" s="10"/>
      <c r="K947" s="10"/>
      <c r="L947" s="10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>
      <c r="A948" s="19"/>
      <c r="B948" s="12"/>
      <c r="C948" s="10"/>
      <c r="D948" s="20"/>
      <c r="E948" s="10"/>
      <c r="F948" s="10"/>
      <c r="G948" s="10"/>
      <c r="H948" s="10"/>
      <c r="I948" s="10"/>
      <c r="J948" s="10"/>
      <c r="K948" s="10"/>
      <c r="L948" s="10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>
      <c r="A949" s="19"/>
      <c r="B949" s="12"/>
      <c r="C949" s="10"/>
      <c r="D949" s="20"/>
      <c r="E949" s="10"/>
      <c r="F949" s="10"/>
      <c r="G949" s="10"/>
      <c r="H949" s="10"/>
      <c r="I949" s="10"/>
      <c r="J949" s="10"/>
      <c r="K949" s="10"/>
      <c r="L949" s="10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>
      <c r="A950" s="19"/>
      <c r="B950" s="12"/>
      <c r="C950" s="10"/>
      <c r="D950" s="20"/>
      <c r="E950" s="10"/>
      <c r="F950" s="10"/>
      <c r="G950" s="10"/>
      <c r="H950" s="10"/>
      <c r="I950" s="10"/>
      <c r="J950" s="10"/>
      <c r="K950" s="10"/>
      <c r="L950" s="10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>
      <c r="A951" s="19"/>
      <c r="B951" s="12"/>
      <c r="C951" s="10"/>
      <c r="D951" s="20"/>
      <c r="E951" s="10"/>
      <c r="F951" s="10"/>
      <c r="G951" s="10"/>
      <c r="H951" s="10"/>
      <c r="I951" s="10"/>
      <c r="J951" s="10"/>
      <c r="K951" s="10"/>
      <c r="L951" s="10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>
      <c r="A952" s="19"/>
      <c r="B952" s="12"/>
      <c r="C952" s="10"/>
      <c r="D952" s="20"/>
      <c r="E952" s="10"/>
      <c r="F952" s="10"/>
      <c r="G952" s="10"/>
      <c r="H952" s="10"/>
      <c r="I952" s="10"/>
      <c r="J952" s="10"/>
      <c r="K952" s="10"/>
      <c r="L952" s="10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>
      <c r="A953" s="19"/>
      <c r="B953" s="12"/>
      <c r="C953" s="10"/>
      <c r="D953" s="20"/>
      <c r="E953" s="10"/>
      <c r="F953" s="10"/>
      <c r="G953" s="10"/>
      <c r="H953" s="10"/>
      <c r="I953" s="10"/>
      <c r="J953" s="10"/>
      <c r="K953" s="10"/>
      <c r="L953" s="10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>
      <c r="A954" s="19"/>
      <c r="B954" s="12"/>
      <c r="C954" s="10"/>
      <c r="D954" s="20"/>
      <c r="E954" s="10"/>
      <c r="F954" s="10"/>
      <c r="G954" s="10"/>
      <c r="H954" s="10"/>
      <c r="I954" s="10"/>
      <c r="J954" s="10"/>
      <c r="K954" s="10"/>
      <c r="L954" s="10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>
      <c r="A955" s="19"/>
      <c r="B955" s="12"/>
      <c r="C955" s="10"/>
      <c r="D955" s="20"/>
      <c r="E955" s="10"/>
      <c r="F955" s="10"/>
      <c r="G955" s="10"/>
      <c r="H955" s="10"/>
      <c r="I955" s="10"/>
      <c r="J955" s="10"/>
      <c r="K955" s="10"/>
      <c r="L955" s="10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>
      <c r="A956" s="19"/>
      <c r="B956" s="12"/>
      <c r="C956" s="10"/>
      <c r="D956" s="20"/>
      <c r="E956" s="10"/>
      <c r="F956" s="10"/>
      <c r="G956" s="10"/>
      <c r="H956" s="10"/>
      <c r="I956" s="10"/>
      <c r="J956" s="10"/>
      <c r="K956" s="10"/>
      <c r="L956" s="10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>
      <c r="A957" s="19"/>
      <c r="B957" s="12"/>
      <c r="C957" s="10"/>
      <c r="D957" s="20"/>
      <c r="E957" s="10"/>
      <c r="F957" s="10"/>
      <c r="G957" s="10"/>
      <c r="H957" s="10"/>
      <c r="I957" s="10"/>
      <c r="J957" s="10"/>
      <c r="K957" s="10"/>
      <c r="L957" s="10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>
      <c r="A958" s="19"/>
      <c r="B958" s="12"/>
      <c r="C958" s="10"/>
      <c r="D958" s="20"/>
      <c r="E958" s="10"/>
      <c r="F958" s="10"/>
      <c r="G958" s="10"/>
      <c r="H958" s="10"/>
      <c r="I958" s="10"/>
      <c r="J958" s="10"/>
      <c r="K958" s="10"/>
      <c r="L958" s="10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>
      <c r="A959" s="19"/>
      <c r="B959" s="12"/>
      <c r="C959" s="10"/>
      <c r="D959" s="20"/>
      <c r="E959" s="10"/>
      <c r="F959" s="10"/>
      <c r="G959" s="10"/>
      <c r="H959" s="10"/>
      <c r="I959" s="10"/>
      <c r="J959" s="10"/>
      <c r="K959" s="10"/>
      <c r="L959" s="10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>
      <c r="A960" s="19"/>
      <c r="B960" s="12"/>
      <c r="C960" s="10"/>
      <c r="D960" s="20"/>
      <c r="E960" s="10"/>
      <c r="F960" s="10"/>
      <c r="G960" s="10"/>
      <c r="H960" s="10"/>
      <c r="I960" s="10"/>
      <c r="J960" s="10"/>
      <c r="K960" s="10"/>
      <c r="L960" s="10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>
      <c r="A961" s="19"/>
      <c r="B961" s="12"/>
      <c r="C961" s="10"/>
      <c r="D961" s="20"/>
      <c r="E961" s="10"/>
      <c r="F961" s="10"/>
      <c r="G961" s="10"/>
      <c r="H961" s="10"/>
      <c r="I961" s="10"/>
      <c r="J961" s="10"/>
      <c r="K961" s="10"/>
      <c r="L961" s="10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>
      <c r="A962" s="19"/>
      <c r="B962" s="12"/>
      <c r="C962" s="10"/>
      <c r="D962" s="20"/>
      <c r="E962" s="10"/>
      <c r="F962" s="10"/>
      <c r="G962" s="10"/>
      <c r="H962" s="10"/>
      <c r="I962" s="10"/>
      <c r="J962" s="10"/>
      <c r="K962" s="10"/>
      <c r="L962" s="10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>
      <c r="A963" s="19"/>
      <c r="B963" s="12"/>
      <c r="C963" s="10"/>
      <c r="D963" s="20"/>
      <c r="E963" s="10"/>
      <c r="F963" s="10"/>
      <c r="G963" s="10"/>
      <c r="H963" s="10"/>
      <c r="I963" s="10"/>
      <c r="J963" s="10"/>
      <c r="K963" s="10"/>
      <c r="L963" s="10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>
      <c r="A964" s="19"/>
      <c r="B964" s="12"/>
      <c r="C964" s="10"/>
      <c r="D964" s="20"/>
      <c r="E964" s="10"/>
      <c r="F964" s="10"/>
      <c r="G964" s="10"/>
      <c r="H964" s="10"/>
      <c r="I964" s="10"/>
      <c r="J964" s="10"/>
      <c r="K964" s="10"/>
      <c r="L964" s="10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>
      <c r="A965" s="19"/>
      <c r="B965" s="12"/>
      <c r="C965" s="10"/>
      <c r="D965" s="20"/>
      <c r="E965" s="10"/>
      <c r="F965" s="10"/>
      <c r="G965" s="10"/>
      <c r="H965" s="10"/>
      <c r="I965" s="10"/>
      <c r="J965" s="10"/>
      <c r="K965" s="10"/>
      <c r="L965" s="10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>
      <c r="A966" s="19"/>
      <c r="B966" s="12"/>
      <c r="C966" s="10"/>
      <c r="D966" s="20"/>
      <c r="E966" s="10"/>
      <c r="F966" s="10"/>
      <c r="G966" s="10"/>
      <c r="H966" s="10"/>
      <c r="I966" s="10"/>
      <c r="J966" s="10"/>
      <c r="K966" s="10"/>
      <c r="L966" s="10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>
      <c r="A967" s="19"/>
      <c r="B967" s="12"/>
      <c r="C967" s="10"/>
      <c r="D967" s="20"/>
      <c r="E967" s="10"/>
      <c r="F967" s="10"/>
      <c r="G967" s="10"/>
      <c r="H967" s="10"/>
      <c r="I967" s="10"/>
      <c r="J967" s="10"/>
      <c r="K967" s="10"/>
      <c r="L967" s="10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>
      <c r="A968" s="19"/>
      <c r="B968" s="12"/>
      <c r="C968" s="10"/>
      <c r="D968" s="20"/>
      <c r="E968" s="10"/>
      <c r="F968" s="10"/>
      <c r="G968" s="10"/>
      <c r="H968" s="10"/>
      <c r="I968" s="10"/>
      <c r="J968" s="10"/>
      <c r="K968" s="10"/>
      <c r="L968" s="10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>
      <c r="A969" s="19"/>
      <c r="B969" s="12"/>
      <c r="C969" s="10"/>
      <c r="D969" s="20"/>
      <c r="E969" s="10"/>
      <c r="F969" s="10"/>
      <c r="G969" s="10"/>
      <c r="H969" s="10"/>
      <c r="I969" s="10"/>
      <c r="J969" s="10"/>
      <c r="K969" s="10"/>
      <c r="L969" s="10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>
      <c r="A970" s="19"/>
      <c r="B970" s="12"/>
      <c r="C970" s="10"/>
      <c r="D970" s="20"/>
      <c r="E970" s="10"/>
      <c r="F970" s="10"/>
      <c r="G970" s="10"/>
      <c r="H970" s="10"/>
      <c r="I970" s="10"/>
      <c r="J970" s="10"/>
      <c r="K970" s="10"/>
      <c r="L970" s="10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>
      <c r="A971" s="19"/>
      <c r="B971" s="12"/>
      <c r="C971" s="10"/>
      <c r="D971" s="20"/>
      <c r="E971" s="10"/>
      <c r="F971" s="10"/>
      <c r="G971" s="10"/>
      <c r="H971" s="10"/>
      <c r="I971" s="10"/>
      <c r="J971" s="10"/>
      <c r="K971" s="10"/>
      <c r="L971" s="10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>
      <c r="A972" s="19"/>
      <c r="B972" s="12"/>
      <c r="C972" s="10"/>
      <c r="D972" s="20"/>
      <c r="E972" s="10"/>
      <c r="F972" s="10"/>
      <c r="G972" s="10"/>
      <c r="H972" s="10"/>
      <c r="I972" s="10"/>
      <c r="J972" s="10"/>
      <c r="K972" s="10"/>
      <c r="L972" s="10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>
      <c r="A973" s="19"/>
      <c r="B973" s="12"/>
      <c r="C973" s="10"/>
      <c r="D973" s="20"/>
      <c r="E973" s="10"/>
      <c r="F973" s="10"/>
      <c r="G973" s="10"/>
      <c r="H973" s="10"/>
      <c r="I973" s="10"/>
      <c r="J973" s="10"/>
      <c r="K973" s="10"/>
      <c r="L973" s="10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>
      <c r="A974" s="19"/>
      <c r="B974" s="12"/>
      <c r="C974" s="10"/>
      <c r="D974" s="20"/>
      <c r="E974" s="10"/>
      <c r="F974" s="10"/>
      <c r="G974" s="10"/>
      <c r="H974" s="10"/>
      <c r="I974" s="10"/>
      <c r="J974" s="10"/>
      <c r="K974" s="10"/>
      <c r="L974" s="10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>
      <c r="A975" s="19"/>
      <c r="B975" s="12"/>
      <c r="C975" s="10"/>
      <c r="D975" s="20"/>
      <c r="E975" s="10"/>
      <c r="F975" s="10"/>
      <c r="G975" s="10"/>
      <c r="H975" s="10"/>
      <c r="I975" s="10"/>
      <c r="J975" s="10"/>
      <c r="K975" s="10"/>
      <c r="L975" s="10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>
      <c r="A976" s="19"/>
      <c r="B976" s="12"/>
      <c r="C976" s="10"/>
      <c r="D976" s="20"/>
      <c r="E976" s="10"/>
      <c r="F976" s="10"/>
      <c r="G976" s="10"/>
      <c r="H976" s="10"/>
      <c r="I976" s="10"/>
      <c r="J976" s="10"/>
      <c r="K976" s="10"/>
      <c r="L976" s="10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>
      <c r="A977" s="19"/>
      <c r="B977" s="12"/>
      <c r="C977" s="10"/>
      <c r="D977" s="20"/>
      <c r="E977" s="10"/>
      <c r="F977" s="10"/>
      <c r="G977" s="10"/>
      <c r="H977" s="10"/>
      <c r="I977" s="10"/>
      <c r="J977" s="10"/>
      <c r="K977" s="10"/>
      <c r="L977" s="10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>
      <c r="A978" s="19"/>
      <c r="B978" s="12"/>
      <c r="C978" s="10"/>
      <c r="D978" s="20"/>
      <c r="E978" s="10"/>
      <c r="F978" s="10"/>
      <c r="G978" s="10"/>
      <c r="H978" s="10"/>
      <c r="I978" s="10"/>
      <c r="J978" s="10"/>
      <c r="K978" s="10"/>
      <c r="L978" s="10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>
      <c r="A979" s="19"/>
      <c r="B979" s="12"/>
      <c r="C979" s="10"/>
      <c r="D979" s="20"/>
      <c r="E979" s="10"/>
      <c r="F979" s="10"/>
      <c r="G979" s="10"/>
      <c r="H979" s="10"/>
      <c r="I979" s="10"/>
      <c r="J979" s="10"/>
      <c r="K979" s="10"/>
      <c r="L979" s="10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>
      <c r="A980" s="19"/>
      <c r="B980" s="12"/>
      <c r="C980" s="10"/>
      <c r="D980" s="20"/>
      <c r="E980" s="10"/>
      <c r="F980" s="10"/>
      <c r="G980" s="10"/>
      <c r="H980" s="10"/>
      <c r="I980" s="10"/>
      <c r="J980" s="10"/>
      <c r="K980" s="10"/>
      <c r="L980" s="10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>
      <c r="A981" s="19"/>
      <c r="B981" s="12"/>
      <c r="C981" s="10"/>
      <c r="D981" s="20"/>
      <c r="E981" s="10"/>
      <c r="F981" s="10"/>
      <c r="G981" s="10"/>
      <c r="H981" s="10"/>
      <c r="I981" s="10"/>
      <c r="J981" s="10"/>
      <c r="K981" s="10"/>
      <c r="L981" s="10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>
      <c r="A982" s="19"/>
      <c r="B982" s="12"/>
      <c r="C982" s="10"/>
      <c r="D982" s="20"/>
      <c r="E982" s="10"/>
      <c r="F982" s="10"/>
      <c r="G982" s="10"/>
      <c r="H982" s="10"/>
      <c r="I982" s="10"/>
      <c r="J982" s="10"/>
      <c r="K982" s="10"/>
      <c r="L982" s="10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>
      <c r="A983" s="19"/>
      <c r="B983" s="12"/>
      <c r="C983" s="10"/>
      <c r="D983" s="20"/>
      <c r="E983" s="10"/>
      <c r="F983" s="10"/>
      <c r="G983" s="10"/>
      <c r="H983" s="10"/>
      <c r="I983" s="10"/>
      <c r="J983" s="10"/>
      <c r="K983" s="10"/>
      <c r="L983" s="10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>
      <c r="A984" s="19"/>
      <c r="B984" s="12"/>
      <c r="C984" s="10"/>
      <c r="D984" s="20"/>
      <c r="E984" s="10"/>
      <c r="F984" s="10"/>
      <c r="G984" s="10"/>
      <c r="H984" s="10"/>
      <c r="I984" s="10"/>
      <c r="J984" s="10"/>
      <c r="K984" s="10"/>
      <c r="L984" s="10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>
      <c r="A985" s="19"/>
      <c r="B985" s="12"/>
      <c r="C985" s="10"/>
      <c r="D985" s="20"/>
      <c r="E985" s="10"/>
      <c r="F985" s="10"/>
      <c r="G985" s="10"/>
      <c r="H985" s="10"/>
      <c r="I985" s="10"/>
      <c r="J985" s="10"/>
      <c r="K985" s="10"/>
      <c r="L985" s="10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>
      <c r="A986" s="19"/>
      <c r="B986" s="12"/>
      <c r="C986" s="10"/>
      <c r="D986" s="20"/>
      <c r="E986" s="10"/>
      <c r="F986" s="10"/>
      <c r="G986" s="10"/>
      <c r="H986" s="10"/>
      <c r="I986" s="10"/>
      <c r="J986" s="10"/>
      <c r="K986" s="10"/>
      <c r="L986" s="10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>
      <c r="A987" s="19"/>
      <c r="B987" s="12"/>
      <c r="C987" s="10"/>
      <c r="D987" s="20"/>
      <c r="E987" s="10"/>
      <c r="F987" s="10"/>
      <c r="G987" s="10"/>
      <c r="H987" s="10"/>
      <c r="I987" s="10"/>
      <c r="J987" s="10"/>
      <c r="K987" s="10"/>
      <c r="L987" s="10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>
      <c r="A988" s="19"/>
      <c r="B988" s="12"/>
      <c r="C988" s="10"/>
      <c r="D988" s="20"/>
      <c r="E988" s="10"/>
      <c r="F988" s="10"/>
      <c r="G988" s="10"/>
      <c r="H988" s="10"/>
      <c r="I988" s="10"/>
      <c r="J988" s="10"/>
      <c r="K988" s="10"/>
      <c r="L988" s="10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>
      <c r="A989" s="19"/>
      <c r="B989" s="12"/>
      <c r="C989" s="10"/>
      <c r="D989" s="20"/>
      <c r="E989" s="10"/>
      <c r="F989" s="10"/>
      <c r="G989" s="10"/>
      <c r="H989" s="10"/>
      <c r="I989" s="10"/>
      <c r="J989" s="10"/>
      <c r="K989" s="10"/>
      <c r="L989" s="10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>
      <c r="A990" s="19"/>
      <c r="B990" s="12"/>
      <c r="C990" s="10"/>
      <c r="D990" s="20"/>
      <c r="E990" s="10"/>
      <c r="F990" s="10"/>
      <c r="G990" s="10"/>
      <c r="H990" s="10"/>
      <c r="I990" s="10"/>
      <c r="J990" s="10"/>
      <c r="K990" s="10"/>
      <c r="L990" s="10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>
      <c r="A991" s="19"/>
      <c r="B991" s="12"/>
      <c r="C991" s="10"/>
      <c r="D991" s="20"/>
      <c r="E991" s="10"/>
      <c r="F991" s="10"/>
      <c r="G991" s="10"/>
      <c r="H991" s="10"/>
      <c r="I991" s="10"/>
      <c r="J991" s="10"/>
      <c r="K991" s="10"/>
      <c r="L991" s="10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>
      <c r="A992" s="19"/>
      <c r="B992" s="12"/>
      <c r="C992" s="10"/>
      <c r="D992" s="20"/>
      <c r="E992" s="10"/>
      <c r="F992" s="10"/>
      <c r="G992" s="10"/>
      <c r="H992" s="10"/>
      <c r="I992" s="10"/>
      <c r="J992" s="10"/>
      <c r="K992" s="10"/>
      <c r="L992" s="10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>
      <c r="A993" s="19"/>
      <c r="B993" s="12"/>
      <c r="C993" s="10"/>
      <c r="D993" s="20"/>
      <c r="E993" s="10"/>
      <c r="F993" s="10"/>
      <c r="G993" s="10"/>
      <c r="H993" s="10"/>
      <c r="I993" s="10"/>
      <c r="J993" s="10"/>
      <c r="K993" s="10"/>
      <c r="L993" s="10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>
      <c r="A994" s="19"/>
      <c r="B994" s="12"/>
      <c r="C994" s="10"/>
      <c r="D994" s="20"/>
      <c r="E994" s="10"/>
      <c r="F994" s="10"/>
      <c r="G994" s="10"/>
      <c r="H994" s="10"/>
      <c r="I994" s="10"/>
      <c r="J994" s="10"/>
      <c r="K994" s="10"/>
      <c r="L994" s="10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>
      <c r="A995" s="19"/>
      <c r="B995" s="12"/>
      <c r="C995" s="10"/>
      <c r="D995" s="20"/>
      <c r="E995" s="10"/>
      <c r="F995" s="10"/>
      <c r="G995" s="10"/>
      <c r="H995" s="10"/>
      <c r="I995" s="10"/>
      <c r="J995" s="10"/>
      <c r="K995" s="10"/>
      <c r="L995" s="10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>
      <c r="A996" s="19"/>
      <c r="B996" s="12"/>
      <c r="C996" s="10"/>
      <c r="D996" s="20"/>
      <c r="E996" s="10"/>
      <c r="F996" s="10"/>
      <c r="G996" s="10"/>
      <c r="H996" s="10"/>
      <c r="I996" s="10"/>
      <c r="J996" s="10"/>
      <c r="K996" s="10"/>
      <c r="L996" s="10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>
      <c r="A997" s="19"/>
      <c r="B997" s="12"/>
      <c r="C997" s="10"/>
      <c r="D997" s="20"/>
      <c r="E997" s="10"/>
      <c r="F997" s="10"/>
      <c r="G997" s="10"/>
      <c r="H997" s="10"/>
      <c r="I997" s="10"/>
      <c r="J997" s="10"/>
      <c r="K997" s="10"/>
      <c r="L997" s="10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</sheetData>
  <conditionalFormatting sqref="A2:B341">
    <cfRule type="expression" dxfId="2" priority="1">
      <formula>$C2=""</formula>
    </cfRule>
  </conditionalFormatting>
  <conditionalFormatting sqref="A2:A341">
    <cfRule type="expression" dxfId="2" priority="2">
      <formula>$B2=""</formula>
    </cfRule>
  </conditionalFormatting>
  <conditionalFormatting sqref="A2:Y341">
    <cfRule type="expression" dxfId="3" priority="3">
      <formula>$B2&lt;&gt;""</formula>
    </cfRule>
  </conditionalFormatting>
  <conditionalFormatting sqref="D2:D341">
    <cfRule type="expression" dxfId="4" priority="4">
      <formula>$D2="Prioritar"</formula>
    </cfRule>
  </conditionalFormatting>
  <dataValidations>
    <dataValidation type="list" allowBlank="1" showErrorMessage="1" sqref="B2:B341">
      <formula1>LISTA_TERAPEUTI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6.88"/>
  </cols>
  <sheetData>
    <row r="1">
      <c r="A1" s="1" t="s">
        <v>0</v>
      </c>
      <c r="B1" s="1" t="s">
        <v>2</v>
      </c>
    </row>
    <row r="2">
      <c r="A2" s="4" t="str">
        <f>IFERROR(__xludf.DUMMYFUNCTION("IMPORTRANGE(
  ""1JE9h0woPj4kjQaqnVyRsChGktFbetg5FO5m1udaIToQ"",
  ""LISTA_TERAPEUTI""
)"),"Bianca Hlepco (0746918098)")</f>
        <v>Bianca Hlepco (0746918098)</v>
      </c>
      <c r="B2" s="8" t="s">
        <v>4</v>
      </c>
    </row>
    <row r="3">
      <c r="A3" s="4" t="str">
        <f>IFERROR(__xludf.DUMMYFUNCTION("""COMPUTED_VALUE"""),"Denisa Dascăl (0751822126)")</f>
        <v>Denisa Dascăl (0751822126)</v>
      </c>
    </row>
    <row r="4">
      <c r="A4" s="4" t="str">
        <f>IFERROR(__xludf.DUMMYFUNCTION("""COMPUTED_VALUE"""),"Iulia Șchiriac (0742511962)")</f>
        <v>Iulia Șchiriac (0742511962)</v>
      </c>
    </row>
    <row r="5">
      <c r="A5" s="4" t="str">
        <f>IFERROR(__xludf.DUMMYFUNCTION("""COMPUTED_VALUE"""),"Mădălina Milaș (0749670681)")</f>
        <v>Mădălina Milaș (0749670681)</v>
      </c>
    </row>
    <row r="6">
      <c r="A6" s="4" t="str">
        <f>IFERROR(__xludf.DUMMYFUNCTION("""COMPUTED_VALUE"""),"Mezei Emoke (0752145363)")</f>
        <v>Mezei Emoke (0752145363)</v>
      </c>
    </row>
    <row r="7">
      <c r="A7" s="4" t="str">
        <f>IFERROR(__xludf.DUMMYFUNCTION("""COMPUTED_VALUE"""),"Mihaela Inta (0743784821)")</f>
        <v>Mihaela Inta (0743784821)</v>
      </c>
    </row>
    <row r="8">
      <c r="A8" s="4" t="str">
        <f>IFERROR(__xludf.DUMMYFUNCTION("""COMPUTED_VALUE"""),"Ovidiu Talpoș (0723166985)")</f>
        <v>Ovidiu Talpoș (0723166985)</v>
      </c>
    </row>
    <row r="9">
      <c r="A9" s="4" t="str">
        <f>IFERROR(__xludf.DUMMYFUNCTION("""COMPUTED_VALUE"""),"Paula Nuțaș (0746311991)")</f>
        <v>Paula Nuțaș (0746311991)</v>
      </c>
    </row>
    <row r="10">
      <c r="A10" s="4" t="str">
        <f>IFERROR(__xludf.DUMMYFUNCTION("""COMPUTED_VALUE"""),"Raluca Ionescu (0733434503)")</f>
        <v>Raluca Ionescu (0733434503)</v>
      </c>
    </row>
    <row r="11">
      <c r="A11" s="4" t="str">
        <f>IFERROR(__xludf.DUMMYFUNCTION("""COMPUTED_VALUE"""),"Ramona Ghimpu (0748876064)")</f>
        <v>Ramona Ghimpu (0748876064)</v>
      </c>
    </row>
    <row r="12">
      <c r="A12" s="4" t="str">
        <f>IFERROR(__xludf.DUMMYFUNCTION("""COMPUTED_VALUE"""),"Roxana Frunză (0744963489)")</f>
        <v>Roxana Frunză (0744963489)</v>
      </c>
    </row>
    <row r="13">
      <c r="A13" s="11"/>
    </row>
    <row r="14">
      <c r="A14" s="11"/>
    </row>
    <row r="15">
      <c r="A15" s="11"/>
    </row>
    <row r="16">
      <c r="A16" s="11"/>
    </row>
    <row r="17">
      <c r="A17" s="11"/>
    </row>
    <row r="18">
      <c r="A18" s="11"/>
    </row>
    <row r="19">
      <c r="A19" s="11"/>
    </row>
    <row r="20">
      <c r="A20" s="11"/>
    </row>
    <row r="21">
      <c r="A21" s="11"/>
    </row>
    <row r="22">
      <c r="A22" s="11"/>
    </row>
    <row r="23">
      <c r="A23" s="11"/>
    </row>
    <row r="24">
      <c r="A24" s="11"/>
    </row>
    <row r="25">
      <c r="A25" s="11"/>
    </row>
    <row r="26">
      <c r="A26" s="11"/>
    </row>
    <row r="27">
      <c r="A27" s="11"/>
    </row>
    <row r="28">
      <c r="A28" s="11"/>
    </row>
    <row r="29">
      <c r="A29" s="11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</sheetData>
  <conditionalFormatting sqref="B2">
    <cfRule type="expression" dxfId="0" priority="1">
      <formula>AND($A2&lt;&gt;"",$B2="Prioritar")</formula>
    </cfRule>
  </conditionalFormatting>
  <conditionalFormatting sqref="B2">
    <cfRule type="expression" dxfId="1" priority="2">
      <formula>$G2=TRUE</formula>
    </cfRule>
  </conditionalFormatting>
  <dataValidations>
    <dataValidation type="list" allowBlank="1" showErrorMessage="1" sqref="B2">
      <formula1>LISTA_TERAPEUTI</formula1>
    </dataValidation>
  </dataValidations>
  <drawing r:id="rId1"/>
</worksheet>
</file>